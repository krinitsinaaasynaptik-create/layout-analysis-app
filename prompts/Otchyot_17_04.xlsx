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ovorova\Desktop\Отчёт\"/>
    </mc:Choice>
  </mc:AlternateContent>
  <xr:revisionPtr revIDLastSave="0" documentId="13_ncr:1_{FF132AB0-2EA2-4C49-9724-C86B8E71C7E3}" xr6:coauthVersionLast="36" xr6:coauthVersionMax="47" xr10:uidLastSave="{00000000-0000-0000-0000-000000000000}"/>
  <bookViews>
    <workbookView xWindow="0" yWindow="0" windowWidth="28800" windowHeight="11925" xr2:uid="{00000000-000D-0000-FFFF-FFFF00000000}"/>
  </bookViews>
  <sheets>
    <sheet name="Сводка" sheetId="1" r:id="rId1"/>
    <sheet name="КССК" sheetId="18" r:id="rId2"/>
    <sheet name="Железно" sheetId="8" r:id="rId3"/>
    <sheet name="КСМ" sheetId="19" r:id="rId4"/>
    <sheet name="Маяковская" sheetId="9" r:id="rId5"/>
    <sheet name="УКС Авитек" sheetId="4" r:id="rId6"/>
    <sheet name="СМУ5" sheetId="11" r:id="rId7"/>
    <sheet name="СтройСоюз" sheetId="5" r:id="rId8"/>
    <sheet name="КИНО девелопмент" sheetId="7" r:id="rId9"/>
    <sheet name="ПрофСтрой" sheetId="13" r:id="rId10"/>
    <sheet name="Алтай-Строй" sheetId="14" r:id="rId11"/>
    <sheet name="Сретенский посад" sheetId="16" r:id="rId12"/>
    <sheet name="ПС Недвижимость" sheetId="17" r:id="rId13"/>
  </sheets>
  <definedNames>
    <definedName name="_xlnm._FilterDatabase" localSheetId="10" hidden="1">'Алтай-Строй'!$A$3:$G$280</definedName>
    <definedName name="_xlnm._FilterDatabase" localSheetId="2" hidden="1">Железно!$A$3:$H$353</definedName>
    <definedName name="_xlnm._FilterDatabase" localSheetId="8" hidden="1">'КИНО девелопмент'!$A$3:$I$139</definedName>
    <definedName name="_xlnm._FilterDatabase" localSheetId="3" hidden="1">КСМ!$A$2:$H$396</definedName>
    <definedName name="_xlnm._FilterDatabase" localSheetId="1" hidden="1">КССК!$A$3:$G$323</definedName>
    <definedName name="_xlnm._FilterDatabase" localSheetId="4" hidden="1">Маяковская!$A$3:$E$51</definedName>
    <definedName name="_xlnm._FilterDatabase" localSheetId="9" hidden="1">ПрофСтрой!$A$3:$G$63</definedName>
    <definedName name="_xlnm._FilterDatabase" localSheetId="12" hidden="1">'ПС Недвижимость'!$A$3:$E$28</definedName>
    <definedName name="_xlnm._FilterDatabase" localSheetId="6" hidden="1">СМУ5!$A$3:$G$64</definedName>
    <definedName name="_xlnm._FilterDatabase" localSheetId="11" hidden="1">'Сретенский посад'!$A$3:$F$33</definedName>
    <definedName name="_xlnm._FilterDatabase" localSheetId="7" hidden="1">СтройСоюз!$A$3:$E$487</definedName>
    <definedName name="_xlnm._FilterDatabase" localSheetId="5" hidden="1">'УКС Авитек'!$A$2:$G$187</definedName>
  </definedNames>
  <calcPr calcId="191029"/>
</workbook>
</file>

<file path=xl/calcChain.xml><?xml version="1.0" encoding="utf-8"?>
<calcChain xmlns="http://schemas.openxmlformats.org/spreadsheetml/2006/main">
  <c r="G303" i="18" l="1"/>
  <c r="G299" i="18"/>
  <c r="G298" i="18"/>
  <c r="G295" i="18"/>
  <c r="G273" i="18"/>
  <c r="G272" i="18"/>
  <c r="G271" i="18"/>
  <c r="G251" i="18"/>
  <c r="G250" i="18"/>
  <c r="G249" i="18"/>
  <c r="G231" i="18"/>
  <c r="G230" i="18"/>
  <c r="G213" i="18"/>
  <c r="G212" i="18"/>
  <c r="G198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30" i="18"/>
  <c r="G29" i="18"/>
  <c r="G26" i="18"/>
  <c r="G25" i="18"/>
  <c r="G15" i="18"/>
  <c r="G14" i="18"/>
  <c r="G13" i="18"/>
  <c r="G12" i="18"/>
  <c r="G10" i="18"/>
  <c r="G8" i="18"/>
  <c r="G270" i="18"/>
  <c r="G269" i="18"/>
  <c r="G268" i="18"/>
  <c r="G128" i="18"/>
  <c r="G127" i="18"/>
  <c r="G126" i="18"/>
  <c r="G125" i="18"/>
  <c r="G124" i="18"/>
  <c r="G123" i="18"/>
  <c r="G122" i="18"/>
  <c r="G121" i="18"/>
  <c r="G120" i="18"/>
  <c r="G119" i="18"/>
  <c r="G118" i="18"/>
  <c r="G323" i="18"/>
  <c r="G322" i="18"/>
  <c r="G321" i="18"/>
  <c r="G320" i="18"/>
  <c r="G306" i="18"/>
  <c r="G302" i="18"/>
  <c r="G301" i="18"/>
  <c r="G294" i="18"/>
  <c r="G288" i="18"/>
  <c r="G287" i="18"/>
  <c r="G248" i="18"/>
  <c r="G247" i="18"/>
  <c r="G229" i="18"/>
  <c r="G228" i="18"/>
  <c r="G211" i="18"/>
  <c r="G210" i="18"/>
  <c r="G181" i="18"/>
  <c r="G180" i="18"/>
  <c r="G179" i="18"/>
  <c r="G178" i="18"/>
  <c r="G177" i="18"/>
  <c r="G176" i="18"/>
  <c r="G175" i="18"/>
  <c r="G174" i="18"/>
  <c r="G149" i="18"/>
  <c r="G148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28" i="18"/>
  <c r="G21" i="18"/>
  <c r="G20" i="18"/>
  <c r="G19" i="18"/>
  <c r="G319" i="18"/>
  <c r="G318" i="18"/>
  <c r="G317" i="18"/>
  <c r="G316" i="18"/>
  <c r="G297" i="18"/>
  <c r="G293" i="18"/>
  <c r="G292" i="18"/>
  <c r="G286" i="18"/>
  <c r="G285" i="18"/>
  <c r="G284" i="18"/>
  <c r="G267" i="18"/>
  <c r="G266" i="18"/>
  <c r="G265" i="18"/>
  <c r="G246" i="18"/>
  <c r="G245" i="18"/>
  <c r="G244" i="18"/>
  <c r="G243" i="18"/>
  <c r="G242" i="18"/>
  <c r="G227" i="18"/>
  <c r="G226" i="18"/>
  <c r="G225" i="18"/>
  <c r="G224" i="18"/>
  <c r="G223" i="18"/>
  <c r="G209" i="18"/>
  <c r="G208" i="18"/>
  <c r="G207" i="18"/>
  <c r="G206" i="18"/>
  <c r="G205" i="18"/>
  <c r="G197" i="18"/>
  <c r="G196" i="18"/>
  <c r="G195" i="18"/>
  <c r="G194" i="18"/>
  <c r="G193" i="18"/>
  <c r="G173" i="18"/>
  <c r="G172" i="18"/>
  <c r="G171" i="18"/>
  <c r="G170" i="18"/>
  <c r="G169" i="18"/>
  <c r="G168" i="18"/>
  <c r="G167" i="18"/>
  <c r="G147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24" i="18"/>
  <c r="G315" i="18"/>
  <c r="G314" i="18"/>
  <c r="G313" i="18"/>
  <c r="G312" i="18"/>
  <c r="G311" i="18"/>
  <c r="G310" i="18"/>
  <c r="G291" i="18"/>
  <c r="G283" i="18"/>
  <c r="G282" i="18"/>
  <c r="G281" i="18"/>
  <c r="G264" i="18"/>
  <c r="G263" i="18"/>
  <c r="G262" i="18"/>
  <c r="G261" i="18"/>
  <c r="G241" i="18"/>
  <c r="G240" i="18"/>
  <c r="G239" i="18"/>
  <c r="G222" i="18"/>
  <c r="G221" i="18"/>
  <c r="G204" i="18"/>
  <c r="G192" i="18"/>
  <c r="G191" i="18"/>
  <c r="G190" i="18"/>
  <c r="G189" i="18"/>
  <c r="G188" i="18"/>
  <c r="G166" i="18"/>
  <c r="G165" i="18"/>
  <c r="G164" i="18"/>
  <c r="G163" i="18"/>
  <c r="G162" i="18"/>
  <c r="G161" i="18"/>
  <c r="G160" i="18"/>
  <c r="G146" i="18"/>
  <c r="G145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280" i="18"/>
  <c r="G279" i="18"/>
  <c r="G260" i="18"/>
  <c r="G259" i="18"/>
  <c r="G258" i="18"/>
  <c r="G257" i="18"/>
  <c r="G256" i="18"/>
  <c r="G238" i="18"/>
  <c r="G237" i="18"/>
  <c r="G236" i="18"/>
  <c r="G220" i="18"/>
  <c r="G219" i="18"/>
  <c r="G218" i="18"/>
  <c r="G217" i="18"/>
  <c r="G216" i="18"/>
  <c r="G203" i="18"/>
  <c r="G202" i="18"/>
  <c r="G201" i="18"/>
  <c r="G187" i="18"/>
  <c r="G186" i="18"/>
  <c r="G159" i="18"/>
  <c r="G158" i="18"/>
  <c r="G157" i="18"/>
  <c r="G156" i="18"/>
  <c r="G155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278" i="18"/>
  <c r="G277" i="18"/>
  <c r="G276" i="18"/>
  <c r="G255" i="18"/>
  <c r="G254" i="18"/>
  <c r="G253" i="18"/>
  <c r="G235" i="18"/>
  <c r="G234" i="18"/>
  <c r="G215" i="18"/>
  <c r="G200" i="18"/>
  <c r="G185" i="18"/>
  <c r="G184" i="18"/>
  <c r="G154" i="18"/>
  <c r="G153" i="18"/>
  <c r="G152" i="18"/>
  <c r="G144" i="18"/>
  <c r="G22" i="11"/>
  <c r="G21" i="11"/>
  <c r="G20" i="11"/>
  <c r="G19" i="11"/>
  <c r="G17" i="11"/>
  <c r="G16" i="11"/>
  <c r="G15" i="11"/>
  <c r="G14" i="11"/>
  <c r="G13" i="11"/>
  <c r="G12" i="11"/>
  <c r="G18" i="11"/>
  <c r="G64" i="11"/>
  <c r="G63" i="11"/>
  <c r="G40" i="11"/>
  <c r="G39" i="11"/>
  <c r="G38" i="11"/>
  <c r="G61" i="11"/>
  <c r="G62" i="11"/>
  <c r="G59" i="11"/>
  <c r="G58" i="11"/>
  <c r="G57" i="11"/>
  <c r="G56" i="11"/>
  <c r="G55" i="11"/>
  <c r="G36" i="11"/>
  <c r="G35" i="11"/>
  <c r="G31" i="11"/>
  <c r="G34" i="11"/>
  <c r="G30" i="11"/>
  <c r="G33" i="11"/>
  <c r="G29" i="11"/>
  <c r="G32" i="11"/>
  <c r="G54" i="11"/>
  <c r="G53" i="11"/>
  <c r="G52" i="11"/>
  <c r="G51" i="11"/>
  <c r="G50" i="11"/>
  <c r="G49" i="11"/>
  <c r="G48" i="11"/>
  <c r="G47" i="11"/>
  <c r="G27" i="11"/>
  <c r="G26" i="11"/>
  <c r="G25" i="11"/>
  <c r="G24" i="11"/>
  <c r="G5" i="11"/>
  <c r="G6" i="11"/>
  <c r="G7" i="11"/>
  <c r="G8" i="11"/>
  <c r="G9" i="11"/>
  <c r="G10" i="11"/>
  <c r="G11" i="1"/>
  <c r="F11" i="1"/>
  <c r="F37" i="9" l="1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D4" i="9"/>
  <c r="D29" i="17" l="1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G237" i="14"/>
  <c r="C237" i="14"/>
  <c r="G236" i="14"/>
  <c r="C236" i="14"/>
  <c r="G235" i="14"/>
  <c r="C235" i="14"/>
  <c r="G234" i="14"/>
  <c r="C234" i="14"/>
  <c r="G233" i="14"/>
  <c r="C233" i="14"/>
  <c r="G232" i="14"/>
  <c r="C232" i="14"/>
  <c r="G231" i="14"/>
  <c r="C231" i="14"/>
  <c r="G230" i="14"/>
  <c r="C230" i="14"/>
  <c r="G229" i="14"/>
  <c r="C229" i="14"/>
  <c r="G228" i="14"/>
  <c r="C228" i="14"/>
  <c r="G227" i="14"/>
  <c r="C227" i="14"/>
  <c r="G226" i="14"/>
  <c r="C226" i="14"/>
  <c r="G225" i="14"/>
  <c r="C225" i="14"/>
  <c r="G224" i="14"/>
  <c r="C224" i="14"/>
  <c r="G223" i="14"/>
  <c r="C223" i="14"/>
  <c r="G222" i="14"/>
  <c r="C222" i="14"/>
  <c r="G221" i="14"/>
  <c r="C221" i="14"/>
  <c r="G220" i="14"/>
  <c r="C220" i="14"/>
  <c r="G219" i="14"/>
  <c r="C219" i="14"/>
  <c r="G218" i="14"/>
  <c r="C218" i="14"/>
  <c r="G217" i="14"/>
  <c r="C217" i="14"/>
  <c r="G216" i="14"/>
  <c r="C216" i="14"/>
  <c r="G215" i="14"/>
  <c r="C215" i="14"/>
  <c r="G214" i="14"/>
  <c r="C214" i="14"/>
  <c r="G213" i="14"/>
  <c r="C213" i="14"/>
  <c r="G212" i="14"/>
  <c r="C212" i="14"/>
  <c r="G211" i="14"/>
  <c r="C211" i="14"/>
  <c r="G210" i="14"/>
  <c r="C210" i="14"/>
  <c r="G209" i="14"/>
  <c r="C209" i="14"/>
  <c r="G208" i="14"/>
  <c r="C208" i="14"/>
  <c r="G207" i="14"/>
  <c r="C207" i="14"/>
  <c r="G206" i="14"/>
  <c r="C206" i="14"/>
  <c r="G205" i="14"/>
  <c r="C205" i="14"/>
  <c r="G204" i="14"/>
  <c r="C204" i="14"/>
  <c r="G203" i="14"/>
  <c r="C203" i="14"/>
  <c r="G202" i="14"/>
  <c r="C202" i="14"/>
  <c r="G201" i="14"/>
  <c r="C201" i="14"/>
  <c r="G200" i="14"/>
  <c r="C200" i="14"/>
  <c r="G199" i="14"/>
  <c r="C199" i="14"/>
  <c r="G198" i="14"/>
  <c r="C198" i="14"/>
  <c r="G197" i="14"/>
  <c r="C197" i="14"/>
  <c r="G196" i="14"/>
  <c r="C196" i="14"/>
  <c r="G195" i="14"/>
  <c r="C195" i="14"/>
  <c r="G194" i="14"/>
  <c r="C194" i="14"/>
  <c r="G193" i="14"/>
  <c r="C193" i="14"/>
  <c r="G192" i="14"/>
  <c r="C192" i="14"/>
  <c r="G191" i="14"/>
  <c r="C191" i="14"/>
  <c r="G190" i="14"/>
  <c r="C190" i="14"/>
  <c r="G189" i="14"/>
  <c r="C189" i="14"/>
  <c r="G188" i="14"/>
  <c r="C188" i="14"/>
  <c r="G187" i="14"/>
  <c r="C187" i="14"/>
  <c r="G186" i="14"/>
  <c r="C186" i="14"/>
  <c r="G185" i="14"/>
  <c r="C185" i="14"/>
  <c r="G184" i="14"/>
  <c r="C184" i="14"/>
  <c r="G183" i="14"/>
  <c r="C183" i="14"/>
  <c r="G182" i="14"/>
  <c r="C182" i="14"/>
  <c r="G181" i="14"/>
  <c r="C181" i="14"/>
  <c r="G180" i="14"/>
  <c r="C180" i="14"/>
  <c r="G179" i="14"/>
  <c r="C179" i="14"/>
  <c r="G178" i="14"/>
  <c r="C178" i="14"/>
  <c r="G177" i="14"/>
  <c r="C177" i="14"/>
  <c r="G176" i="14"/>
  <c r="C176" i="14"/>
  <c r="G175" i="14"/>
  <c r="C175" i="14"/>
  <c r="G174" i="14"/>
  <c r="C174" i="14"/>
  <c r="G173" i="14"/>
  <c r="C173" i="14"/>
  <c r="G172" i="14"/>
  <c r="C172" i="14"/>
  <c r="G171" i="14"/>
  <c r="C171" i="14"/>
  <c r="G170" i="14"/>
  <c r="C170" i="14"/>
  <c r="G169" i="14"/>
  <c r="C169" i="14"/>
  <c r="G168" i="14"/>
  <c r="C168" i="14"/>
  <c r="G167" i="14"/>
  <c r="C167" i="14"/>
  <c r="G166" i="14"/>
  <c r="C166" i="14"/>
  <c r="G165" i="14"/>
  <c r="C165" i="14"/>
  <c r="G164" i="14"/>
  <c r="C164" i="14"/>
  <c r="G163" i="14"/>
  <c r="C163" i="14"/>
  <c r="G162" i="14"/>
  <c r="C162" i="14"/>
  <c r="G161" i="14"/>
  <c r="C161" i="14"/>
  <c r="G160" i="14"/>
  <c r="C160" i="14"/>
  <c r="G159" i="14"/>
  <c r="C159" i="14"/>
  <c r="G158" i="14"/>
  <c r="C158" i="14"/>
  <c r="G157" i="14"/>
  <c r="C157" i="14"/>
  <c r="G156" i="14"/>
  <c r="C156" i="14"/>
  <c r="G155" i="14"/>
  <c r="C155" i="14"/>
  <c r="G154" i="14"/>
  <c r="C154" i="14"/>
  <c r="C151" i="14"/>
  <c r="C150" i="14"/>
  <c r="C149" i="14"/>
  <c r="C148" i="14"/>
  <c r="G147" i="14"/>
  <c r="C147" i="14"/>
  <c r="G144" i="14"/>
  <c r="C144" i="14"/>
  <c r="G143" i="14"/>
  <c r="C143" i="14"/>
  <c r="G142" i="14"/>
  <c r="C142" i="14"/>
  <c r="G141" i="14"/>
  <c r="C141" i="14"/>
  <c r="G140" i="14"/>
  <c r="C140" i="14"/>
  <c r="G139" i="14"/>
  <c r="C139" i="14"/>
  <c r="G138" i="14"/>
  <c r="C138" i="14"/>
  <c r="G137" i="14"/>
  <c r="C137" i="14"/>
  <c r="G136" i="14"/>
  <c r="C136" i="14"/>
  <c r="G135" i="14"/>
  <c r="C135" i="14"/>
  <c r="G134" i="14"/>
  <c r="C134" i="14"/>
  <c r="G133" i="14"/>
  <c r="C133" i="14"/>
  <c r="G132" i="14"/>
  <c r="C132" i="14"/>
  <c r="G131" i="14"/>
  <c r="C131" i="14"/>
  <c r="G130" i="14"/>
  <c r="C130" i="14"/>
  <c r="G129" i="14"/>
  <c r="C129" i="14"/>
  <c r="G128" i="14"/>
  <c r="C128" i="14"/>
  <c r="G127" i="14"/>
  <c r="C127" i="14"/>
  <c r="G126" i="14"/>
  <c r="C126" i="14"/>
  <c r="G125" i="14"/>
  <c r="C125" i="14"/>
  <c r="G124" i="14"/>
  <c r="C124" i="14"/>
  <c r="G123" i="14"/>
  <c r="C123" i="14"/>
  <c r="G122" i="14"/>
  <c r="C122" i="14"/>
  <c r="G121" i="14"/>
  <c r="C121" i="14"/>
  <c r="G120" i="14"/>
  <c r="C120" i="14"/>
  <c r="G119" i="14"/>
  <c r="C119" i="14"/>
  <c r="G118" i="14"/>
  <c r="C118" i="14"/>
  <c r="G117" i="14"/>
  <c r="C117" i="14"/>
  <c r="G116" i="14"/>
  <c r="C116" i="14"/>
  <c r="G115" i="14"/>
  <c r="C115" i="14"/>
  <c r="G114" i="14"/>
  <c r="C114" i="14"/>
  <c r="G113" i="14"/>
  <c r="C113" i="14"/>
  <c r="G112" i="14"/>
  <c r="C112" i="14"/>
  <c r="G111" i="14"/>
  <c r="C111" i="14"/>
  <c r="G110" i="14"/>
  <c r="C110" i="14"/>
  <c r="G109" i="14"/>
  <c r="C109" i="14"/>
  <c r="G108" i="14"/>
  <c r="C108" i="14"/>
  <c r="G107" i="14"/>
  <c r="C107" i="14"/>
  <c r="G106" i="14"/>
  <c r="C106" i="14"/>
  <c r="G105" i="14"/>
  <c r="C105" i="14"/>
  <c r="G104" i="14"/>
  <c r="C104" i="14"/>
  <c r="G103" i="14"/>
  <c r="C103" i="14"/>
  <c r="G102" i="14"/>
  <c r="C102" i="14"/>
  <c r="G101" i="14"/>
  <c r="C101" i="14"/>
  <c r="G100" i="14"/>
  <c r="C100" i="14"/>
  <c r="G99" i="14"/>
  <c r="C99" i="14"/>
  <c r="G98" i="14"/>
  <c r="C98" i="14"/>
  <c r="G97" i="14"/>
  <c r="C97" i="14"/>
  <c r="G96" i="14"/>
  <c r="C96" i="14"/>
  <c r="G95" i="14"/>
  <c r="C95" i="14"/>
  <c r="G94" i="14"/>
  <c r="C94" i="14"/>
  <c r="G93" i="14"/>
  <c r="C93" i="14"/>
  <c r="G92" i="14"/>
  <c r="C92" i="14"/>
  <c r="G91" i="14"/>
  <c r="C91" i="14"/>
  <c r="G90" i="14"/>
  <c r="C90" i="14"/>
  <c r="G89" i="14"/>
  <c r="C89" i="14"/>
  <c r="G88" i="14"/>
  <c r="C88" i="14"/>
  <c r="G87" i="14"/>
  <c r="C87" i="14"/>
  <c r="G86" i="14"/>
  <c r="C86" i="14"/>
  <c r="G85" i="14"/>
  <c r="C85" i="14"/>
  <c r="G84" i="14"/>
  <c r="C84" i="14"/>
  <c r="G83" i="14"/>
  <c r="C83" i="14"/>
  <c r="G82" i="14"/>
  <c r="C82" i="14"/>
  <c r="G81" i="14"/>
  <c r="C81" i="14"/>
  <c r="G80" i="14"/>
  <c r="C80" i="14"/>
  <c r="G79" i="14"/>
  <c r="C79" i="14"/>
  <c r="G78" i="14"/>
  <c r="C78" i="14"/>
  <c r="G77" i="14"/>
  <c r="C77" i="14"/>
  <c r="G76" i="14"/>
  <c r="C76" i="14"/>
  <c r="G75" i="14"/>
  <c r="C75" i="14"/>
  <c r="G74" i="14"/>
  <c r="C74" i="14"/>
  <c r="G73" i="14"/>
  <c r="C73" i="14"/>
  <c r="G72" i="14"/>
  <c r="C72" i="14"/>
  <c r="G71" i="14"/>
  <c r="C71" i="14"/>
  <c r="G70" i="14"/>
  <c r="C70" i="14"/>
  <c r="G69" i="14"/>
  <c r="C69" i="14"/>
  <c r="G68" i="14"/>
  <c r="C68" i="14"/>
  <c r="G67" i="14"/>
  <c r="C67" i="14"/>
  <c r="G66" i="14"/>
  <c r="C66" i="14"/>
  <c r="G65" i="14"/>
  <c r="C65" i="14"/>
  <c r="G64" i="14"/>
  <c r="C64" i="14"/>
  <c r="G63" i="14"/>
  <c r="C63" i="14"/>
  <c r="G62" i="14"/>
  <c r="C62" i="14"/>
  <c r="G61" i="14"/>
  <c r="C61" i="14"/>
  <c r="G60" i="14"/>
  <c r="C60" i="14"/>
  <c r="G59" i="14"/>
  <c r="C59" i="14"/>
  <c r="G58" i="14"/>
  <c r="C58" i="14"/>
  <c r="G57" i="14"/>
  <c r="C57" i="14"/>
  <c r="G56" i="14"/>
  <c r="C56" i="14"/>
  <c r="G55" i="14"/>
  <c r="C55" i="14"/>
  <c r="G54" i="14"/>
  <c r="C54" i="14"/>
  <c r="G53" i="14"/>
  <c r="C53" i="14"/>
  <c r="G52" i="14"/>
  <c r="C52" i="14"/>
  <c r="G51" i="14"/>
  <c r="C51" i="14"/>
  <c r="G50" i="14"/>
  <c r="C50" i="14"/>
  <c r="G49" i="14"/>
  <c r="C49" i="14"/>
  <c r="G48" i="14"/>
  <c r="C48" i="14"/>
  <c r="G47" i="14"/>
  <c r="C47" i="14"/>
  <c r="G46" i="14"/>
  <c r="C46" i="14"/>
  <c r="G45" i="14"/>
  <c r="C45" i="14"/>
  <c r="G44" i="14"/>
  <c r="C44" i="14"/>
  <c r="G43" i="14"/>
  <c r="C43" i="14"/>
  <c r="G42" i="14"/>
  <c r="C42" i="14"/>
  <c r="G41" i="14"/>
  <c r="C41" i="14"/>
  <c r="G40" i="14"/>
  <c r="C40" i="14"/>
  <c r="G39" i="14"/>
  <c r="C39" i="14"/>
  <c r="G38" i="14"/>
  <c r="C38" i="14"/>
  <c r="G37" i="14"/>
  <c r="C37" i="14"/>
  <c r="G36" i="14"/>
  <c r="C36" i="14"/>
  <c r="G35" i="14"/>
  <c r="C35" i="14"/>
  <c r="G34" i="14"/>
  <c r="C34" i="14"/>
  <c r="G33" i="14"/>
  <c r="C33" i="14"/>
  <c r="G32" i="14"/>
  <c r="C32" i="14"/>
  <c r="G31" i="14"/>
  <c r="C31" i="14"/>
  <c r="G30" i="14"/>
  <c r="C30" i="14"/>
  <c r="G29" i="14"/>
  <c r="C29" i="14"/>
  <c r="G28" i="14"/>
  <c r="C28" i="14"/>
  <c r="G27" i="14"/>
  <c r="C27" i="14"/>
  <c r="G26" i="14"/>
  <c r="C26" i="14"/>
  <c r="G25" i="14"/>
  <c r="C25" i="14"/>
  <c r="G24" i="14"/>
  <c r="C24" i="14"/>
  <c r="G23" i="14"/>
  <c r="C23" i="14"/>
  <c r="G22" i="14"/>
  <c r="C22" i="14"/>
  <c r="G21" i="14"/>
  <c r="C21" i="14"/>
  <c r="G20" i="14"/>
  <c r="C20" i="14"/>
  <c r="G19" i="14"/>
  <c r="C19" i="14"/>
  <c r="G18" i="14"/>
  <c r="C18" i="14"/>
  <c r="G17" i="14"/>
  <c r="C17" i="14"/>
  <c r="G16" i="14"/>
  <c r="C16" i="14"/>
  <c r="G15" i="14"/>
  <c r="C15" i="14"/>
  <c r="G14" i="14"/>
  <c r="C14" i="14"/>
  <c r="G13" i="14"/>
  <c r="C13" i="14"/>
  <c r="G12" i="14"/>
  <c r="C12" i="14"/>
  <c r="G11" i="14"/>
  <c r="C11" i="14"/>
  <c r="G10" i="14"/>
  <c r="C10" i="14"/>
  <c r="G9" i="14"/>
  <c r="C9" i="14"/>
  <c r="G8" i="14"/>
  <c r="C8" i="14"/>
  <c r="G7" i="14"/>
  <c r="C7" i="14"/>
  <c r="G6" i="14"/>
  <c r="C6" i="14"/>
  <c r="G5" i="14"/>
  <c r="C5" i="14"/>
  <c r="G4" i="14"/>
  <c r="C4" i="14"/>
  <c r="G110" i="7"/>
  <c r="G109" i="7"/>
  <c r="G108" i="7"/>
  <c r="G107" i="7"/>
  <c r="G106" i="7"/>
  <c r="G105" i="7"/>
  <c r="G104" i="7"/>
  <c r="G103" i="7"/>
  <c r="G102" i="7"/>
  <c r="G101" i="7"/>
  <c r="C101" i="7"/>
  <c r="G100" i="7"/>
  <c r="C100" i="7"/>
  <c r="G99" i="7"/>
  <c r="G98" i="7"/>
  <c r="G97" i="7"/>
  <c r="G96" i="7"/>
  <c r="G95" i="7"/>
  <c r="G94" i="7"/>
  <c r="G93" i="7"/>
  <c r="G92" i="7"/>
  <c r="C92" i="7"/>
  <c r="G91" i="7"/>
  <c r="G90" i="7"/>
  <c r="G89" i="7"/>
  <c r="G88" i="7"/>
  <c r="G87" i="7"/>
  <c r="G86" i="7"/>
  <c r="C86" i="7"/>
  <c r="G85" i="7"/>
  <c r="G84" i="7"/>
  <c r="G83" i="7"/>
  <c r="G82" i="7"/>
  <c r="G81" i="7"/>
  <c r="G80" i="7"/>
  <c r="G79" i="7"/>
  <c r="G78" i="7"/>
  <c r="G77" i="7"/>
  <c r="G76" i="7"/>
  <c r="G75" i="7"/>
  <c r="G74" i="7"/>
  <c r="C74" i="7"/>
  <c r="G73" i="7"/>
  <c r="G72" i="7"/>
  <c r="G71" i="7"/>
  <c r="G70" i="7"/>
  <c r="G69" i="7"/>
  <c r="G68" i="7"/>
  <c r="G67" i="7"/>
  <c r="C67" i="7"/>
  <c r="G66" i="7"/>
  <c r="G65" i="7"/>
  <c r="G64" i="7"/>
  <c r="G63" i="7"/>
  <c r="G62" i="7"/>
  <c r="G61" i="7"/>
  <c r="C60" i="7"/>
  <c r="G59" i="7"/>
  <c r="C58" i="7"/>
  <c r="G55" i="7"/>
  <c r="G54" i="7"/>
  <c r="G53" i="7"/>
  <c r="G52" i="7"/>
  <c r="G51" i="7"/>
  <c r="G50" i="7"/>
  <c r="G49" i="7"/>
  <c r="C49" i="7"/>
  <c r="G48" i="7"/>
  <c r="C48" i="7"/>
  <c r="G47" i="7"/>
  <c r="G46" i="7"/>
  <c r="G45" i="7"/>
  <c r="G44" i="7"/>
  <c r="C44" i="7"/>
  <c r="G43" i="7"/>
  <c r="G42" i="7"/>
  <c r="G41" i="7"/>
  <c r="G40" i="7"/>
  <c r="G39" i="7"/>
  <c r="G38" i="7"/>
  <c r="G37" i="7"/>
  <c r="G36" i="7"/>
  <c r="G35" i="7"/>
  <c r="G34" i="7"/>
  <c r="G33" i="7"/>
  <c r="C33" i="7"/>
  <c r="G32" i="7"/>
  <c r="C32" i="7"/>
  <c r="G31" i="7"/>
  <c r="G30" i="7"/>
  <c r="G29" i="7"/>
  <c r="G26" i="7"/>
  <c r="G25" i="7"/>
  <c r="C25" i="7"/>
  <c r="G24" i="7"/>
  <c r="G23" i="7"/>
  <c r="C23" i="7"/>
  <c r="G22" i="7"/>
  <c r="G21" i="7"/>
  <c r="G20" i="7"/>
  <c r="G19" i="7"/>
  <c r="G18" i="7"/>
  <c r="G17" i="7"/>
  <c r="G16" i="7"/>
  <c r="C16" i="7"/>
  <c r="G15" i="7"/>
  <c r="G14" i="7"/>
  <c r="G13" i="7"/>
  <c r="C12" i="7"/>
  <c r="C11" i="7"/>
  <c r="C10" i="7"/>
  <c r="C9" i="7"/>
  <c r="G8" i="7"/>
  <c r="G7" i="7"/>
  <c r="G4" i="7"/>
  <c r="G44" i="11" l="1"/>
  <c r="G45" i="11"/>
  <c r="G46" i="11"/>
  <c r="G60" i="11"/>
  <c r="G43" i="11"/>
  <c r="C44" i="11"/>
  <c r="C45" i="11"/>
  <c r="C46" i="11"/>
  <c r="C47" i="11"/>
  <c r="C48" i="11"/>
  <c r="C55" i="11"/>
  <c r="C49" i="11"/>
  <c r="C50" i="11"/>
  <c r="C51" i="11"/>
  <c r="C52" i="11"/>
  <c r="C53" i="11"/>
  <c r="C54" i="11"/>
  <c r="C56" i="11"/>
  <c r="C57" i="11"/>
  <c r="C58" i="11"/>
  <c r="C59" i="11"/>
  <c r="C60" i="11"/>
  <c r="C61" i="11"/>
  <c r="C62" i="11"/>
  <c r="C63" i="11"/>
  <c r="C64" i="11"/>
  <c r="C43" i="11"/>
  <c r="G4" i="11"/>
  <c r="G11" i="11"/>
  <c r="G23" i="11"/>
  <c r="G28" i="11"/>
  <c r="G37" i="11"/>
  <c r="C40" i="11"/>
  <c r="C39" i="11"/>
  <c r="C38" i="11"/>
  <c r="C37" i="11"/>
  <c r="C36" i="11"/>
  <c r="C35" i="11"/>
  <c r="C31" i="11"/>
  <c r="C34" i="11"/>
  <c r="C30" i="11"/>
  <c r="C33" i="11"/>
  <c r="C29" i="11"/>
  <c r="C32" i="11"/>
  <c r="C28" i="11"/>
  <c r="C5" i="11"/>
  <c r="C6" i="11"/>
  <c r="C7" i="11"/>
  <c r="C8" i="11"/>
  <c r="C9" i="11"/>
  <c r="C10" i="11"/>
  <c r="C11" i="11"/>
  <c r="C18" i="11"/>
  <c r="C12" i="11"/>
  <c r="C13" i="11"/>
  <c r="C23" i="11"/>
  <c r="C14" i="11"/>
  <c r="C15" i="11"/>
  <c r="C16" i="11"/>
  <c r="C17" i="11"/>
  <c r="C19" i="11"/>
  <c r="C20" i="11"/>
  <c r="C24" i="11"/>
  <c r="C21" i="11"/>
  <c r="C25" i="11"/>
  <c r="C22" i="11"/>
  <c r="C26" i="11"/>
  <c r="C27" i="11"/>
  <c r="C4" i="11"/>
  <c r="C385" i="5"/>
  <c r="H365" i="5"/>
  <c r="C365" i="5"/>
  <c r="H119" i="5"/>
  <c r="H160" i="5"/>
  <c r="H161" i="5"/>
  <c r="H326" i="5"/>
  <c r="C326" i="5"/>
  <c r="H324" i="5"/>
  <c r="C324" i="5"/>
  <c r="H337" i="5"/>
  <c r="C337" i="5"/>
  <c r="H336" i="5"/>
  <c r="C336" i="5"/>
  <c r="H321" i="5"/>
  <c r="C321" i="5"/>
  <c r="H330" i="5"/>
  <c r="C330" i="5"/>
  <c r="H329" i="5"/>
  <c r="C329" i="5"/>
  <c r="H340" i="5"/>
  <c r="C340" i="5"/>
  <c r="H253" i="5"/>
  <c r="C253" i="5"/>
  <c r="H285" i="5"/>
  <c r="C285" i="5"/>
  <c r="H232" i="5"/>
  <c r="C232" i="5"/>
  <c r="H240" i="5"/>
  <c r="C240" i="5"/>
  <c r="H227" i="5"/>
  <c r="C227" i="5"/>
  <c r="H291" i="5"/>
  <c r="C291" i="5"/>
  <c r="H290" i="5"/>
  <c r="C290" i="5"/>
  <c r="H257" i="5"/>
  <c r="C257" i="5"/>
  <c r="H256" i="5"/>
  <c r="C256" i="5"/>
  <c r="H255" i="5"/>
  <c r="C255" i="5"/>
  <c r="H300" i="5"/>
  <c r="C300" i="5"/>
  <c r="H302" i="5"/>
  <c r="C302" i="5"/>
  <c r="H301" i="5"/>
  <c r="C301" i="5"/>
  <c r="C271" i="5" l="1"/>
  <c r="H271" i="5"/>
  <c r="H270" i="5"/>
  <c r="C270" i="5"/>
  <c r="H234" i="5"/>
  <c r="C234" i="5"/>
  <c r="H304" i="5"/>
  <c r="C304" i="5"/>
  <c r="H275" i="5"/>
  <c r="C275" i="5"/>
  <c r="H274" i="5"/>
  <c r="C274" i="5"/>
  <c r="H276" i="5"/>
  <c r="C276" i="5"/>
  <c r="H273" i="5"/>
  <c r="C273" i="5"/>
  <c r="C119" i="5"/>
  <c r="H188" i="5"/>
  <c r="C188" i="5"/>
  <c r="H97" i="5"/>
  <c r="C97" i="5"/>
  <c r="H195" i="5"/>
  <c r="C195" i="5"/>
  <c r="H130" i="5"/>
  <c r="C130" i="5"/>
  <c r="H108" i="5"/>
  <c r="C108" i="5"/>
  <c r="H210" i="5"/>
  <c r="C210" i="5"/>
  <c r="H208" i="5"/>
  <c r="C208" i="5"/>
  <c r="H207" i="5"/>
  <c r="C207" i="5"/>
  <c r="H141" i="5"/>
  <c r="C141" i="5"/>
  <c r="H139" i="5"/>
  <c r="C139" i="5"/>
  <c r="C161" i="5"/>
  <c r="C183" i="5"/>
  <c r="H183" i="5"/>
  <c r="H193" i="5"/>
  <c r="C193" i="5"/>
  <c r="C160" i="5"/>
  <c r="C171" i="5"/>
  <c r="H171" i="5"/>
  <c r="H202" i="5"/>
  <c r="C202" i="5"/>
  <c r="H179" i="5"/>
  <c r="C179" i="5"/>
  <c r="H178" i="5"/>
  <c r="C178" i="5"/>
  <c r="H182" i="5"/>
  <c r="C182" i="5"/>
  <c r="C64" i="5"/>
  <c r="H64" i="5"/>
  <c r="H484" i="5"/>
  <c r="C484" i="5"/>
  <c r="H483" i="5"/>
  <c r="C483" i="5"/>
  <c r="H482" i="5"/>
  <c r="C482" i="5"/>
  <c r="H448" i="5"/>
  <c r="C448" i="5"/>
  <c r="H427" i="5"/>
  <c r="C427" i="5"/>
  <c r="H398" i="5"/>
  <c r="C398" i="5"/>
  <c r="H392" i="5"/>
  <c r="C392" i="5"/>
  <c r="H395" i="5"/>
  <c r="C395" i="5"/>
  <c r="H394" i="5"/>
  <c r="C394" i="5"/>
  <c r="H17" i="5"/>
  <c r="C17" i="5"/>
  <c r="H16" i="5"/>
  <c r="C16" i="5"/>
  <c r="H15" i="5"/>
  <c r="C15" i="5"/>
  <c r="I15" i="5"/>
  <c r="J15" i="5" l="1"/>
  <c r="K15" i="5" s="1"/>
  <c r="G155" i="4"/>
  <c r="D155" i="4"/>
  <c r="G146" i="4"/>
  <c r="D146" i="4"/>
  <c r="D375" i="19"/>
  <c r="H276" i="19"/>
  <c r="D276" i="19"/>
  <c r="H273" i="19"/>
  <c r="D273" i="19"/>
  <c r="D268" i="19"/>
  <c r="D266" i="19"/>
  <c r="H214" i="19"/>
  <c r="D214" i="19"/>
  <c r="H154" i="19"/>
  <c r="D154" i="19"/>
  <c r="H136" i="19"/>
  <c r="D136" i="19"/>
  <c r="H83" i="19"/>
  <c r="D83" i="19"/>
  <c r="H76" i="19"/>
  <c r="D76" i="19"/>
  <c r="H56" i="19"/>
  <c r="D56" i="19"/>
  <c r="H51" i="19"/>
  <c r="D51" i="19"/>
  <c r="G7" i="18" l="1"/>
  <c r="G45" i="13" l="1"/>
  <c r="G44" i="13"/>
  <c r="G43" i="13"/>
  <c r="G42" i="13"/>
  <c r="G23" i="13"/>
  <c r="G22" i="13"/>
  <c r="G21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H389" i="5"/>
  <c r="H388" i="5"/>
  <c r="H387" i="5"/>
  <c r="H386" i="5"/>
  <c r="H385" i="5"/>
  <c r="H384" i="5"/>
  <c r="H82" i="5"/>
  <c r="H81" i="5"/>
  <c r="H80" i="5"/>
  <c r="H383" i="5"/>
  <c r="H382" i="5"/>
  <c r="H381" i="5"/>
  <c r="H380" i="5"/>
  <c r="H379" i="5"/>
  <c r="H378" i="5"/>
  <c r="H377" i="5"/>
  <c r="H79" i="5"/>
  <c r="H78" i="5"/>
  <c r="H77" i="5"/>
  <c r="H68" i="5"/>
  <c r="H67" i="5"/>
  <c r="H66" i="5"/>
  <c r="H487" i="5"/>
  <c r="H486" i="5"/>
  <c r="H485" i="5"/>
  <c r="H376" i="5"/>
  <c r="H375" i="5"/>
  <c r="H374" i="5"/>
  <c r="H373" i="5"/>
  <c r="H372" i="5"/>
  <c r="H371" i="5"/>
  <c r="H370" i="5"/>
  <c r="H369" i="5"/>
  <c r="H368" i="5"/>
  <c r="H367" i="5"/>
  <c r="H366" i="5"/>
  <c r="H364" i="5"/>
  <c r="H76" i="5"/>
  <c r="H471" i="5"/>
  <c r="H470" i="5"/>
  <c r="H469" i="5"/>
  <c r="H468" i="5"/>
  <c r="H467" i="5"/>
  <c r="H481" i="5"/>
  <c r="H480" i="5"/>
  <c r="H478" i="5"/>
  <c r="H477" i="5"/>
  <c r="H474" i="5"/>
  <c r="H466" i="5"/>
  <c r="H479" i="5"/>
  <c r="H476" i="5"/>
  <c r="H473" i="5"/>
  <c r="H475" i="5"/>
  <c r="H472" i="5"/>
  <c r="H363" i="5"/>
  <c r="H362" i="5"/>
  <c r="H361" i="5"/>
  <c r="H360" i="5"/>
  <c r="H359" i="5"/>
  <c r="H358" i="5"/>
  <c r="H357" i="5"/>
  <c r="H356" i="5"/>
  <c r="H355" i="5"/>
  <c r="H344" i="5"/>
  <c r="H343" i="5"/>
  <c r="H342" i="5"/>
  <c r="H341" i="5"/>
  <c r="H339" i="5"/>
  <c r="H338" i="5"/>
  <c r="H335" i="5"/>
  <c r="H334" i="5"/>
  <c r="H333" i="5"/>
  <c r="H332" i="5"/>
  <c r="H331" i="5"/>
  <c r="H328" i="5"/>
  <c r="H327" i="5"/>
  <c r="H325" i="5"/>
  <c r="H323" i="5"/>
  <c r="H322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3" i="5"/>
  <c r="H299" i="5"/>
  <c r="H298" i="5"/>
  <c r="H297" i="5"/>
  <c r="H296" i="5"/>
  <c r="H295" i="5"/>
  <c r="H294" i="5"/>
  <c r="H293" i="5"/>
  <c r="H292" i="5"/>
  <c r="H289" i="5"/>
  <c r="H288" i="5"/>
  <c r="H287" i="5"/>
  <c r="H286" i="5"/>
  <c r="H284" i="5"/>
  <c r="H283" i="5"/>
  <c r="H282" i="5"/>
  <c r="H281" i="5"/>
  <c r="H280" i="5"/>
  <c r="H279" i="5"/>
  <c r="H75" i="5"/>
  <c r="H74" i="5"/>
  <c r="H73" i="5"/>
  <c r="H45" i="5"/>
  <c r="H44" i="5"/>
  <c r="H43" i="5"/>
  <c r="H42" i="5"/>
  <c r="H41" i="5"/>
  <c r="H40" i="5"/>
  <c r="H39" i="5"/>
  <c r="H14" i="5"/>
  <c r="H13" i="5"/>
  <c r="H12" i="5"/>
  <c r="H465" i="5"/>
  <c r="H464" i="5"/>
  <c r="H463" i="5"/>
  <c r="H461" i="5"/>
  <c r="H460" i="5"/>
  <c r="H462" i="5"/>
  <c r="H459" i="5"/>
  <c r="H458" i="5"/>
  <c r="H457" i="5"/>
  <c r="H456" i="5"/>
  <c r="H455" i="5"/>
  <c r="H454" i="5"/>
  <c r="H453" i="5"/>
  <c r="H452" i="5"/>
  <c r="H451" i="5"/>
  <c r="H450" i="5"/>
  <c r="H354" i="5"/>
  <c r="H278" i="5"/>
  <c r="H277" i="5"/>
  <c r="H272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4" i="5"/>
  <c r="H252" i="5"/>
  <c r="H251" i="5"/>
  <c r="H250" i="5"/>
  <c r="H249" i="5"/>
  <c r="H248" i="5"/>
  <c r="H247" i="5"/>
  <c r="H72" i="5"/>
  <c r="H71" i="5"/>
  <c r="H65" i="5"/>
  <c r="H59" i="5"/>
  <c r="H58" i="5"/>
  <c r="H57" i="5"/>
  <c r="H38" i="5"/>
  <c r="H37" i="5"/>
  <c r="H36" i="5"/>
  <c r="H35" i="5"/>
  <c r="H34" i="5"/>
  <c r="H33" i="5"/>
  <c r="H32" i="5"/>
  <c r="H446" i="5"/>
  <c r="H449" i="5"/>
  <c r="H445" i="5"/>
  <c r="H447" i="5"/>
  <c r="H444" i="5"/>
  <c r="H442" i="5"/>
  <c r="H441" i="5"/>
  <c r="H440" i="5"/>
  <c r="H436" i="5"/>
  <c r="H435" i="5"/>
  <c r="H443" i="5"/>
  <c r="H425" i="5"/>
  <c r="H424" i="5"/>
  <c r="H429" i="5"/>
  <c r="H439" i="5"/>
  <c r="H421" i="5"/>
  <c r="H434" i="5"/>
  <c r="H433" i="5"/>
  <c r="H423" i="5"/>
  <c r="H432" i="5"/>
  <c r="H431" i="5"/>
  <c r="H428" i="5"/>
  <c r="H438" i="5"/>
  <c r="H437" i="5"/>
  <c r="H420" i="5"/>
  <c r="H430" i="5"/>
  <c r="H426" i="5"/>
  <c r="H422" i="5"/>
  <c r="H419" i="5"/>
  <c r="H353" i="5"/>
  <c r="H352" i="5"/>
  <c r="H351" i="5"/>
  <c r="H350" i="5"/>
  <c r="H349" i="5"/>
  <c r="H348" i="5"/>
  <c r="H347" i="5"/>
  <c r="H346" i="5"/>
  <c r="H246" i="5"/>
  <c r="H245" i="5"/>
  <c r="H244" i="5"/>
  <c r="H243" i="5"/>
  <c r="H242" i="5"/>
  <c r="H241" i="5"/>
  <c r="H239" i="5"/>
  <c r="H238" i="5"/>
  <c r="H237" i="5"/>
  <c r="H236" i="5"/>
  <c r="H235" i="5"/>
  <c r="H233" i="5"/>
  <c r="H231" i="5"/>
  <c r="H230" i="5"/>
  <c r="H229" i="5"/>
  <c r="H228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09" i="5"/>
  <c r="H206" i="5"/>
  <c r="H205" i="5"/>
  <c r="H204" i="5"/>
  <c r="H203" i="5"/>
  <c r="H201" i="5"/>
  <c r="H200" i="5"/>
  <c r="H199" i="5"/>
  <c r="H198" i="5"/>
  <c r="H197" i="5"/>
  <c r="H196" i="5"/>
  <c r="H194" i="5"/>
  <c r="H192" i="5"/>
  <c r="H191" i="5"/>
  <c r="H190" i="5"/>
  <c r="H189" i="5"/>
  <c r="H187" i="5"/>
  <c r="H186" i="5"/>
  <c r="H185" i="5"/>
  <c r="H184" i="5"/>
  <c r="H56" i="5"/>
  <c r="H55" i="5"/>
  <c r="H54" i="5"/>
  <c r="H53" i="5"/>
  <c r="H52" i="5"/>
  <c r="H30" i="5"/>
  <c r="H29" i="5"/>
  <c r="H28" i="5"/>
  <c r="H27" i="5"/>
  <c r="H11" i="5"/>
  <c r="H10" i="5"/>
  <c r="H9" i="5"/>
  <c r="H8" i="5"/>
  <c r="H4" i="5"/>
  <c r="H418" i="5"/>
  <c r="H417" i="5"/>
  <c r="H413" i="5"/>
  <c r="H416" i="5"/>
  <c r="H415" i="5"/>
  <c r="H412" i="5"/>
  <c r="H414" i="5"/>
  <c r="H409" i="5"/>
  <c r="H408" i="5"/>
  <c r="H407" i="5"/>
  <c r="H411" i="5"/>
  <c r="H406" i="5"/>
  <c r="H405" i="5"/>
  <c r="H410" i="5"/>
  <c r="H404" i="5"/>
  <c r="H403" i="5"/>
  <c r="H399" i="5"/>
  <c r="H397" i="5"/>
  <c r="H402" i="5"/>
  <c r="H401" i="5"/>
  <c r="H396" i="5"/>
  <c r="H393" i="5"/>
  <c r="H391" i="5"/>
  <c r="H400" i="5"/>
  <c r="H181" i="5"/>
  <c r="H180" i="5"/>
  <c r="H177" i="5"/>
  <c r="H176" i="5"/>
  <c r="H175" i="5"/>
  <c r="H174" i="5"/>
  <c r="H173" i="5"/>
  <c r="H172" i="5"/>
  <c r="H170" i="5"/>
  <c r="H169" i="5"/>
  <c r="H168" i="5"/>
  <c r="H167" i="5"/>
  <c r="H166" i="5"/>
  <c r="H165" i="5"/>
  <c r="H164" i="5"/>
  <c r="H163" i="5"/>
  <c r="H162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0" i="5"/>
  <c r="H138" i="5"/>
  <c r="H137" i="5"/>
  <c r="H136" i="5"/>
  <c r="H135" i="5"/>
  <c r="H134" i="5"/>
  <c r="H133" i="5"/>
  <c r="H132" i="5"/>
  <c r="H131" i="5"/>
  <c r="H129" i="5"/>
  <c r="H128" i="5"/>
  <c r="H127" i="5"/>
  <c r="H126" i="5"/>
  <c r="H125" i="5"/>
  <c r="H124" i="5"/>
  <c r="H123" i="5"/>
  <c r="H122" i="5"/>
  <c r="H121" i="5"/>
  <c r="H120" i="5"/>
  <c r="H118" i="5"/>
  <c r="H117" i="5"/>
  <c r="H116" i="5"/>
  <c r="H115" i="5"/>
  <c r="H114" i="5"/>
  <c r="H113" i="5"/>
  <c r="H112" i="5"/>
  <c r="H111" i="5"/>
  <c r="H110" i="5"/>
  <c r="H109" i="5"/>
  <c r="H107" i="5"/>
  <c r="H106" i="5"/>
  <c r="H105" i="5"/>
  <c r="H104" i="5"/>
  <c r="H103" i="5"/>
  <c r="H102" i="5"/>
  <c r="H101" i="5"/>
  <c r="H100" i="5"/>
  <c r="H99" i="5"/>
  <c r="H98" i="5"/>
  <c r="H96" i="5"/>
  <c r="H95" i="5"/>
  <c r="H94" i="5"/>
  <c r="H93" i="5"/>
  <c r="H92" i="5"/>
  <c r="H91" i="5"/>
  <c r="H90" i="5"/>
  <c r="H89" i="5"/>
  <c r="H88" i="5"/>
  <c r="H87" i="5"/>
  <c r="H86" i="5"/>
  <c r="H85" i="5"/>
  <c r="H63" i="5"/>
  <c r="H62" i="5"/>
  <c r="H61" i="5"/>
  <c r="H51" i="5"/>
  <c r="H50" i="5"/>
  <c r="H49" i="5"/>
  <c r="H48" i="5"/>
  <c r="H26" i="5"/>
  <c r="H25" i="5"/>
  <c r="H24" i="5"/>
  <c r="H23" i="5"/>
  <c r="H22" i="5"/>
  <c r="H21" i="5"/>
  <c r="H20" i="5"/>
  <c r="H7" i="5"/>
  <c r="G183" i="4"/>
  <c r="G182" i="4"/>
  <c r="G181" i="4"/>
  <c r="G180" i="4"/>
  <c r="G72" i="4"/>
  <c r="G71" i="4"/>
  <c r="G179" i="4"/>
  <c r="G178" i="4"/>
  <c r="G177" i="4"/>
  <c r="G147" i="4"/>
  <c r="G145" i="4"/>
  <c r="G144" i="4"/>
  <c r="G143" i="4"/>
  <c r="G142" i="4"/>
  <c r="G141" i="4"/>
  <c r="G70" i="4"/>
  <c r="G69" i="4"/>
  <c r="G68" i="4"/>
  <c r="G67" i="4"/>
  <c r="G66" i="4"/>
  <c r="G65" i="4"/>
  <c r="G64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160" i="4"/>
  <c r="G159" i="4"/>
  <c r="G158" i="4"/>
  <c r="G157" i="4"/>
  <c r="G156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37" i="4"/>
  <c r="G36" i="4"/>
  <c r="G35" i="4"/>
  <c r="G34" i="4"/>
  <c r="G33" i="4"/>
  <c r="G32" i="4"/>
  <c r="G31" i="4"/>
  <c r="G30" i="4"/>
  <c r="G29" i="4"/>
  <c r="G28" i="4"/>
  <c r="G154" i="4"/>
  <c r="G153" i="4"/>
  <c r="G152" i="4"/>
  <c r="G9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51" i="4"/>
  <c r="G150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12" i="4"/>
  <c r="G11" i="4"/>
  <c r="G10" i="4"/>
  <c r="G9" i="4"/>
  <c r="G8" i="4"/>
  <c r="G7" i="4"/>
  <c r="G6" i="4"/>
  <c r="G5" i="4"/>
  <c r="H323" i="19"/>
  <c r="H114" i="19"/>
  <c r="H113" i="19"/>
  <c r="H112" i="19"/>
  <c r="H111" i="19"/>
  <c r="H396" i="19"/>
  <c r="H371" i="19"/>
  <c r="H370" i="19"/>
  <c r="H324" i="19"/>
  <c r="H222" i="19"/>
  <c r="H170" i="19"/>
  <c r="H124" i="19"/>
  <c r="H109" i="19"/>
  <c r="H108" i="19"/>
  <c r="H10" i="19"/>
  <c r="H9" i="19"/>
  <c r="H8" i="19"/>
  <c r="H395" i="19"/>
  <c r="H394" i="19"/>
  <c r="H393" i="19"/>
  <c r="H369" i="19"/>
  <c r="H368" i="19"/>
  <c r="H367" i="19"/>
  <c r="H366" i="19"/>
  <c r="H365" i="19"/>
  <c r="H364" i="19"/>
  <c r="H363" i="19"/>
  <c r="H362" i="19"/>
  <c r="H361" i="19"/>
  <c r="H360" i="19"/>
  <c r="H322" i="19"/>
  <c r="H321" i="19"/>
  <c r="H320" i="19"/>
  <c r="H319" i="19"/>
  <c r="H318" i="19"/>
  <c r="H317" i="19"/>
  <c r="H316" i="19"/>
  <c r="H315" i="19"/>
  <c r="H283" i="19"/>
  <c r="H282" i="19"/>
  <c r="H262" i="19"/>
  <c r="H261" i="19"/>
  <c r="H221" i="19"/>
  <c r="H220" i="19"/>
  <c r="H219" i="19"/>
  <c r="H218" i="19"/>
  <c r="H217" i="19"/>
  <c r="H216" i="19"/>
  <c r="H215" i="19"/>
  <c r="H213" i="19"/>
  <c r="H212" i="19"/>
  <c r="H211" i="19"/>
  <c r="H210" i="19"/>
  <c r="H209" i="19"/>
  <c r="H169" i="19"/>
  <c r="H168" i="19"/>
  <c r="H167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6" i="19"/>
  <c r="H392" i="19"/>
  <c r="H391" i="19"/>
  <c r="H390" i="19"/>
  <c r="H389" i="19"/>
  <c r="H388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260" i="19"/>
  <c r="H259" i="19"/>
  <c r="H258" i="19"/>
  <c r="H257" i="19"/>
  <c r="H256" i="19"/>
  <c r="H255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66" i="19"/>
  <c r="H85" i="19"/>
  <c r="H84" i="19"/>
  <c r="H82" i="19"/>
  <c r="H81" i="19"/>
  <c r="H80" i="19"/>
  <c r="H79" i="19"/>
  <c r="H78" i="19"/>
  <c r="H77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387" i="19"/>
  <c r="H386" i="19"/>
  <c r="H385" i="19"/>
  <c r="H384" i="19"/>
  <c r="H383" i="19"/>
  <c r="H343" i="19"/>
  <c r="H342" i="19"/>
  <c r="H341" i="19"/>
  <c r="H340" i="19"/>
  <c r="H339" i="19"/>
  <c r="H338" i="19"/>
  <c r="H337" i="19"/>
  <c r="H300" i="19"/>
  <c r="H299" i="19"/>
  <c r="H298" i="19"/>
  <c r="H297" i="19"/>
  <c r="H281" i="19"/>
  <c r="H280" i="19"/>
  <c r="H279" i="19"/>
  <c r="H278" i="19"/>
  <c r="H277" i="19"/>
  <c r="H27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165" i="19"/>
  <c r="H164" i="19"/>
  <c r="H163" i="19"/>
  <c r="H162" i="19"/>
  <c r="H161" i="19"/>
  <c r="H160" i="19"/>
  <c r="H159" i="19"/>
  <c r="H158" i="19"/>
  <c r="H157" i="19"/>
  <c r="H156" i="19"/>
  <c r="H155" i="19"/>
  <c r="H153" i="19"/>
  <c r="H123" i="19"/>
  <c r="H122" i="19"/>
  <c r="H121" i="19"/>
  <c r="H120" i="19"/>
  <c r="H62" i="19"/>
  <c r="H61" i="19"/>
  <c r="H60" i="19"/>
  <c r="H59" i="19"/>
  <c r="H58" i="19"/>
  <c r="H57" i="19"/>
  <c r="H23" i="19"/>
  <c r="H22" i="19"/>
  <c r="H21" i="19"/>
  <c r="H20" i="19"/>
  <c r="H19" i="19"/>
  <c r="H18" i="19"/>
  <c r="H17" i="19"/>
  <c r="H4" i="19"/>
  <c r="H382" i="19"/>
  <c r="H381" i="19"/>
  <c r="H380" i="19"/>
  <c r="H379" i="19"/>
  <c r="H378" i="19"/>
  <c r="H377" i="19"/>
  <c r="H376" i="19"/>
  <c r="H336" i="19"/>
  <c r="H335" i="19"/>
  <c r="H334" i="19"/>
  <c r="H333" i="19"/>
  <c r="H332" i="19"/>
  <c r="H331" i="19"/>
  <c r="H330" i="19"/>
  <c r="H329" i="19"/>
  <c r="H296" i="19"/>
  <c r="H295" i="19"/>
  <c r="H294" i="19"/>
  <c r="H293" i="19"/>
  <c r="H292" i="19"/>
  <c r="H291" i="19"/>
  <c r="H274" i="19"/>
  <c r="H272" i="19"/>
  <c r="H271" i="19"/>
  <c r="H240" i="19"/>
  <c r="H239" i="19"/>
  <c r="H238" i="19"/>
  <c r="H237" i="19"/>
  <c r="H236" i="19"/>
  <c r="H235" i="19"/>
  <c r="H23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52" i="19"/>
  <c r="H151" i="19"/>
  <c r="H150" i="19"/>
  <c r="H149" i="19"/>
  <c r="H148" i="19"/>
  <c r="H147" i="19"/>
  <c r="H146" i="19"/>
  <c r="H145" i="19"/>
  <c r="H144" i="19"/>
  <c r="H143" i="19"/>
  <c r="H117" i="19"/>
  <c r="H55" i="19"/>
  <c r="H54" i="19"/>
  <c r="H53" i="19"/>
  <c r="H52" i="19"/>
  <c r="H50" i="19"/>
  <c r="H49" i="19"/>
  <c r="H48" i="19"/>
  <c r="H16" i="19"/>
  <c r="H15" i="19"/>
  <c r="H14" i="19"/>
  <c r="H328" i="19"/>
  <c r="H327" i="19"/>
  <c r="H290" i="19"/>
  <c r="H289" i="19"/>
  <c r="H288" i="19"/>
  <c r="H287" i="19"/>
  <c r="H286" i="19"/>
  <c r="H270" i="19"/>
  <c r="H269" i="19"/>
  <c r="H267" i="19"/>
  <c r="H265" i="19"/>
  <c r="H233" i="19"/>
  <c r="H232" i="19"/>
  <c r="H231" i="19"/>
  <c r="H230" i="19"/>
  <c r="H229" i="19"/>
  <c r="H228" i="19"/>
  <c r="H227" i="19"/>
  <c r="H226" i="19"/>
  <c r="H176" i="19"/>
  <c r="H175" i="19"/>
  <c r="H142" i="19"/>
  <c r="H141" i="19"/>
  <c r="H140" i="19"/>
  <c r="H139" i="19"/>
  <c r="H138" i="19"/>
  <c r="H137" i="19"/>
  <c r="H135" i="19"/>
  <c r="H134" i="19"/>
  <c r="H133" i="19"/>
  <c r="H132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374" i="19"/>
  <c r="H225" i="19"/>
  <c r="H174" i="19"/>
  <c r="H173" i="19"/>
  <c r="H131" i="19"/>
  <c r="H130" i="19"/>
  <c r="H129" i="19"/>
  <c r="H128" i="19"/>
  <c r="C400" i="5"/>
  <c r="C391" i="5"/>
  <c r="C393" i="5"/>
  <c r="C396" i="5"/>
  <c r="C401" i="5"/>
  <c r="C402" i="5"/>
  <c r="C397" i="5"/>
  <c r="C399" i="5"/>
  <c r="C403" i="5"/>
  <c r="C404" i="5"/>
  <c r="C410" i="5"/>
  <c r="C405" i="5"/>
  <c r="C406" i="5"/>
  <c r="C411" i="5"/>
  <c r="C407" i="5"/>
  <c r="C408" i="5"/>
  <c r="C409" i="5"/>
  <c r="C419" i="5"/>
  <c r="C414" i="5"/>
  <c r="C422" i="5"/>
  <c r="C426" i="5"/>
  <c r="C430" i="5"/>
  <c r="C412" i="5"/>
  <c r="C420" i="5"/>
  <c r="C415" i="5"/>
  <c r="C437" i="5"/>
  <c r="C438" i="5"/>
  <c r="C428" i="5"/>
  <c r="C431" i="5"/>
  <c r="C432" i="5"/>
  <c r="C423" i="5"/>
  <c r="C416" i="5"/>
  <c r="C413" i="5"/>
  <c r="C417" i="5"/>
  <c r="C433" i="5"/>
  <c r="C434" i="5"/>
  <c r="C421" i="5"/>
  <c r="C439" i="5"/>
  <c r="C429" i="5"/>
  <c r="C424" i="5"/>
  <c r="C425" i="5"/>
  <c r="C418" i="5"/>
  <c r="C443" i="5"/>
  <c r="C435" i="5"/>
  <c r="C436" i="5"/>
  <c r="C440" i="5"/>
  <c r="C441" i="5"/>
  <c r="C442" i="5"/>
  <c r="C444" i="5"/>
  <c r="C447" i="5"/>
  <c r="C445" i="5"/>
  <c r="C449" i="5"/>
  <c r="C446" i="5"/>
  <c r="C450" i="5"/>
  <c r="C451" i="5"/>
  <c r="C452" i="5"/>
  <c r="C453" i="5"/>
  <c r="C454" i="5"/>
  <c r="C455" i="5"/>
  <c r="C456" i="5"/>
  <c r="C457" i="5"/>
  <c r="C472" i="5"/>
  <c r="C475" i="5"/>
  <c r="C458" i="5"/>
  <c r="C473" i="5"/>
  <c r="C476" i="5"/>
  <c r="C459" i="5"/>
  <c r="C479" i="5"/>
  <c r="C462" i="5"/>
  <c r="C466" i="5"/>
  <c r="C460" i="5"/>
  <c r="C474" i="5"/>
  <c r="C477" i="5"/>
  <c r="C478" i="5"/>
  <c r="C461" i="5"/>
  <c r="C480" i="5"/>
  <c r="C481" i="5"/>
  <c r="C463" i="5"/>
  <c r="C467" i="5"/>
  <c r="C468" i="5"/>
  <c r="C464" i="5"/>
  <c r="C469" i="5"/>
  <c r="C470" i="5"/>
  <c r="C471" i="5"/>
  <c r="C465" i="5"/>
  <c r="C485" i="5"/>
  <c r="C486" i="5"/>
  <c r="C487" i="5"/>
  <c r="C38" i="13" l="1"/>
  <c r="D85" i="4"/>
  <c r="D88" i="4"/>
  <c r="D84" i="4"/>
  <c r="D45" i="4"/>
  <c r="D396" i="19"/>
  <c r="D395" i="19"/>
  <c r="D394" i="19"/>
  <c r="D393" i="19"/>
  <c r="D392" i="19"/>
  <c r="D391" i="19"/>
  <c r="D390" i="19"/>
  <c r="D389" i="19"/>
  <c r="D388" i="19"/>
  <c r="D387" i="19"/>
  <c r="D386" i="19"/>
  <c r="D385" i="19"/>
  <c r="D384" i="19"/>
  <c r="D383" i="19"/>
  <c r="D382" i="19"/>
  <c r="D381" i="19"/>
  <c r="D380" i="19"/>
  <c r="D379" i="19"/>
  <c r="D378" i="19"/>
  <c r="D377" i="19"/>
  <c r="D376" i="19"/>
  <c r="D374" i="19"/>
  <c r="D371" i="19"/>
  <c r="D370" i="19"/>
  <c r="D369" i="19"/>
  <c r="D368" i="19"/>
  <c r="D367" i="19"/>
  <c r="D366" i="19"/>
  <c r="D365" i="19"/>
  <c r="D364" i="19"/>
  <c r="D363" i="19"/>
  <c r="D362" i="19"/>
  <c r="D361" i="19"/>
  <c r="D360" i="19"/>
  <c r="D359" i="19"/>
  <c r="D358" i="19"/>
  <c r="D357" i="19"/>
  <c r="D356" i="19"/>
  <c r="D355" i="19"/>
  <c r="D354" i="19"/>
  <c r="D353" i="19"/>
  <c r="D352" i="19"/>
  <c r="D351" i="19"/>
  <c r="D350" i="19"/>
  <c r="D349" i="19"/>
  <c r="D348" i="19"/>
  <c r="D347" i="19"/>
  <c r="D346" i="19"/>
  <c r="D345" i="19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3" i="19"/>
  <c r="D282" i="19"/>
  <c r="D281" i="19"/>
  <c r="D280" i="19"/>
  <c r="D279" i="19"/>
  <c r="D278" i="19"/>
  <c r="D277" i="19"/>
  <c r="D275" i="19"/>
  <c r="D274" i="19"/>
  <c r="D272" i="19"/>
  <c r="D271" i="19"/>
  <c r="D270" i="19"/>
  <c r="D269" i="19"/>
  <c r="D267" i="19"/>
  <c r="D265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2" i="19"/>
  <c r="D221" i="19"/>
  <c r="D220" i="19"/>
  <c r="D219" i="19"/>
  <c r="D218" i="19"/>
  <c r="D217" i="19"/>
  <c r="D216" i="19"/>
  <c r="D215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5" i="19"/>
  <c r="D134" i="19"/>
  <c r="D133" i="19"/>
  <c r="D132" i="19"/>
  <c r="D131" i="19"/>
  <c r="D130" i="19"/>
  <c r="D129" i="19"/>
  <c r="D128" i="19"/>
  <c r="H127" i="19"/>
  <c r="D127" i="19"/>
  <c r="D124" i="19"/>
  <c r="D123" i="19"/>
  <c r="D122" i="19"/>
  <c r="D121" i="19"/>
  <c r="D120" i="19"/>
  <c r="D117" i="19"/>
  <c r="D114" i="19"/>
  <c r="D113" i="19"/>
  <c r="D112" i="19"/>
  <c r="D111" i="19"/>
  <c r="H110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2" i="19"/>
  <c r="D81" i="19"/>
  <c r="D80" i="19"/>
  <c r="D79" i="19"/>
  <c r="D78" i="19"/>
  <c r="D77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5" i="19"/>
  <c r="D54" i="19"/>
  <c r="D53" i="19"/>
  <c r="D52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H26" i="19"/>
  <c r="D26" i="19"/>
  <c r="D23" i="19"/>
  <c r="D22" i="19"/>
  <c r="D21" i="19"/>
  <c r="D20" i="19"/>
  <c r="D19" i="19"/>
  <c r="D18" i="19"/>
  <c r="D17" i="19"/>
  <c r="D16" i="19"/>
  <c r="D15" i="19"/>
  <c r="D14" i="19"/>
  <c r="H13" i="19"/>
  <c r="D13" i="19"/>
  <c r="D10" i="19"/>
  <c r="D9" i="19"/>
  <c r="D8" i="19"/>
  <c r="H7" i="19"/>
  <c r="D7" i="19"/>
  <c r="D6" i="19"/>
  <c r="H5" i="19"/>
  <c r="D5" i="19"/>
  <c r="D4" i="19"/>
  <c r="G17" i="18" l="1"/>
  <c r="G307" i="18"/>
  <c r="G33" i="18"/>
  <c r="C11" i="1" l="1"/>
  <c r="B11" i="1"/>
  <c r="G18" i="18"/>
  <c r="G143" i="18"/>
  <c r="G117" i="18"/>
  <c r="G4" i="18"/>
  <c r="G63" i="4" l="1"/>
  <c r="C30" i="13" l="1"/>
  <c r="C8" i="13"/>
  <c r="D92" i="4"/>
  <c r="D81" i="4"/>
  <c r="D82" i="4"/>
  <c r="D91" i="4"/>
  <c r="D90" i="4"/>
  <c r="D80" i="4"/>
  <c r="D89" i="4"/>
  <c r="D93" i="4"/>
  <c r="I7" i="5" l="1"/>
  <c r="I8" i="5"/>
  <c r="I9" i="5"/>
  <c r="I10" i="5"/>
  <c r="I11" i="5"/>
  <c r="I12" i="5"/>
  <c r="I13" i="5"/>
  <c r="I14" i="5"/>
  <c r="I4" i="5"/>
  <c r="C389" i="5" l="1"/>
  <c r="C388" i="5"/>
  <c r="C387" i="5"/>
  <c r="C386" i="5"/>
  <c r="C384" i="5"/>
  <c r="C380" i="5"/>
  <c r="C379" i="5"/>
  <c r="C378" i="5"/>
  <c r="C377" i="5"/>
  <c r="C383" i="5"/>
  <c r="C382" i="5"/>
  <c r="C381" i="5"/>
  <c r="C376" i="5"/>
  <c r="C372" i="5"/>
  <c r="C375" i="5"/>
  <c r="C374" i="5"/>
  <c r="C373" i="5"/>
  <c r="C364" i="5"/>
  <c r="C368" i="5"/>
  <c r="C367" i="5"/>
  <c r="C363" i="5"/>
  <c r="C366" i="5"/>
  <c r="C362" i="5"/>
  <c r="C361" i="5"/>
  <c r="C360" i="5"/>
  <c r="C359" i="5"/>
  <c r="C358" i="5"/>
  <c r="C350" i="5"/>
  <c r="C347" i="5"/>
  <c r="C348" i="5"/>
  <c r="C351" i="5"/>
  <c r="C352" i="5"/>
  <c r="C349" i="5"/>
  <c r="C353" i="5"/>
  <c r="C354" i="5"/>
  <c r="C355" i="5"/>
  <c r="C356" i="5"/>
  <c r="C357" i="5"/>
  <c r="C369" i="5"/>
  <c r="C370" i="5"/>
  <c r="C371" i="5"/>
  <c r="C346" i="5"/>
  <c r="J14" i="5" l="1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4" i="5"/>
  <c r="K4" i="5" s="1"/>
  <c r="J7" i="5"/>
  <c r="K7" i="5" s="1"/>
  <c r="D175" i="4" l="1"/>
  <c r="C319" i="5" l="1"/>
  <c r="C320" i="5"/>
  <c r="C318" i="5"/>
  <c r="C317" i="5"/>
  <c r="C316" i="5"/>
  <c r="C315" i="5"/>
  <c r="C314" i="5"/>
  <c r="C339" i="5"/>
  <c r="C312" i="5"/>
  <c r="C313" i="5"/>
  <c r="C322" i="5"/>
  <c r="C323" i="5"/>
  <c r="C325" i="5"/>
  <c r="C328" i="5"/>
  <c r="C338" i="5"/>
  <c r="C335" i="5"/>
  <c r="C334" i="5"/>
  <c r="C333" i="5"/>
  <c r="C327" i="5"/>
  <c r="C332" i="5"/>
  <c r="C342" i="5"/>
  <c r="C344" i="5"/>
  <c r="C331" i="5"/>
  <c r="C343" i="5"/>
  <c r="C341" i="5"/>
  <c r="C277" i="5"/>
  <c r="C254" i="5"/>
  <c r="C259" i="5"/>
  <c r="C307" i="5"/>
  <c r="C308" i="5"/>
  <c r="C267" i="5"/>
  <c r="C268" i="5"/>
  <c r="C269" i="5"/>
  <c r="C283" i="5"/>
  <c r="C284" i="5"/>
  <c r="C247" i="5"/>
  <c r="C248" i="5"/>
  <c r="C249" i="5"/>
  <c r="C250" i="5"/>
  <c r="C288" i="5"/>
  <c r="C279" i="5"/>
  <c r="C260" i="5"/>
  <c r="C298" i="5"/>
  <c r="C299" i="5"/>
  <c r="C280" i="5"/>
  <c r="C289" i="5"/>
  <c r="C281" i="5"/>
  <c r="C282" i="5"/>
  <c r="C286" i="5"/>
  <c r="C292" i="5"/>
  <c r="C252" i="5"/>
  <c r="C251" i="5"/>
  <c r="C287" i="5"/>
  <c r="C266" i="5"/>
  <c r="C265" i="5"/>
  <c r="C264" i="5"/>
  <c r="C263" i="5"/>
  <c r="C258" i="5"/>
  <c r="C306" i="5"/>
  <c r="C305" i="5"/>
  <c r="C262" i="5"/>
  <c r="C297" i="5"/>
  <c r="C296" i="5"/>
  <c r="C295" i="5"/>
  <c r="C294" i="5"/>
  <c r="C261" i="5"/>
  <c r="C309" i="5"/>
  <c r="C278" i="5"/>
  <c r="C293" i="5"/>
  <c r="C272" i="5"/>
  <c r="C311" i="5"/>
  <c r="C310" i="5"/>
  <c r="C303" i="5"/>
  <c r="C225" i="5"/>
  <c r="C231" i="5"/>
  <c r="C233" i="5"/>
  <c r="C216" i="5"/>
  <c r="C217" i="5"/>
  <c r="C226" i="5"/>
  <c r="C218" i="5"/>
  <c r="C228" i="5"/>
  <c r="C229" i="5"/>
  <c r="C220" i="5"/>
  <c r="C221" i="5"/>
  <c r="C222" i="5"/>
  <c r="C223" i="5"/>
  <c r="C224" i="5"/>
  <c r="C219" i="5"/>
  <c r="C243" i="5"/>
  <c r="C242" i="5"/>
  <c r="C239" i="5"/>
  <c r="C241" i="5"/>
  <c r="C238" i="5"/>
  <c r="C237" i="5"/>
  <c r="C230" i="5"/>
  <c r="C245" i="5"/>
  <c r="C236" i="5"/>
  <c r="C235" i="5"/>
  <c r="C246" i="5"/>
  <c r="C244" i="5"/>
  <c r="C189" i="5"/>
  <c r="C190" i="5"/>
  <c r="C191" i="5"/>
  <c r="C187" i="5"/>
  <c r="C196" i="5"/>
  <c r="C197" i="5"/>
  <c r="C199" i="5"/>
  <c r="C200" i="5"/>
  <c r="C201" i="5"/>
  <c r="C184" i="5"/>
  <c r="C185" i="5"/>
  <c r="C186" i="5"/>
  <c r="C194" i="5"/>
  <c r="C211" i="5"/>
  <c r="C192" i="5"/>
  <c r="C209" i="5"/>
  <c r="C206" i="5"/>
  <c r="C205" i="5"/>
  <c r="C198" i="5"/>
  <c r="C213" i="5"/>
  <c r="C204" i="5"/>
  <c r="C203" i="5"/>
  <c r="C215" i="5"/>
  <c r="C152" i="5"/>
  <c r="C163" i="5"/>
  <c r="C164" i="5"/>
  <c r="C165" i="5"/>
  <c r="C214" i="5"/>
  <c r="C212" i="5"/>
  <c r="C151" i="5"/>
  <c r="C150" i="5"/>
  <c r="C162" i="5"/>
  <c r="C155" i="5"/>
  <c r="C154" i="5"/>
  <c r="C153" i="5"/>
  <c r="C149" i="5"/>
  <c r="C174" i="5"/>
  <c r="C173" i="5"/>
  <c r="C159" i="5"/>
  <c r="C158" i="5"/>
  <c r="C157" i="5"/>
  <c r="C156" i="5"/>
  <c r="C99" i="5"/>
  <c r="C181" i="5"/>
  <c r="C172" i="5"/>
  <c r="C170" i="5"/>
  <c r="C98" i="5"/>
  <c r="C177" i="5"/>
  <c r="C176" i="5"/>
  <c r="C169" i="5"/>
  <c r="C180" i="5"/>
  <c r="C175" i="5"/>
  <c r="C96" i="5"/>
  <c r="C95" i="5"/>
  <c r="C94" i="5"/>
  <c r="C93" i="5"/>
  <c r="C92" i="5"/>
  <c r="C91" i="5"/>
  <c r="C90" i="5"/>
  <c r="C89" i="5"/>
  <c r="C113" i="5"/>
  <c r="C122" i="5"/>
  <c r="C123" i="5"/>
  <c r="C124" i="5"/>
  <c r="C125" i="5"/>
  <c r="C126" i="5"/>
  <c r="C107" i="5"/>
  <c r="C109" i="5"/>
  <c r="C110" i="5"/>
  <c r="C111" i="5"/>
  <c r="C112" i="5"/>
  <c r="C85" i="5"/>
  <c r="C86" i="5"/>
  <c r="C87" i="5"/>
  <c r="C88" i="5"/>
  <c r="C101" i="5"/>
  <c r="C102" i="5"/>
  <c r="C103" i="5"/>
  <c r="C121" i="5"/>
  <c r="C120" i="5"/>
  <c r="C100" i="5"/>
  <c r="C131" i="5"/>
  <c r="C132" i="5"/>
  <c r="C136" i="5"/>
  <c r="C105" i="5"/>
  <c r="C106" i="5"/>
  <c r="C115" i="5"/>
  <c r="C117" i="5"/>
  <c r="C129" i="5"/>
  <c r="C128" i="5"/>
  <c r="C127" i="5"/>
  <c r="C143" i="5"/>
  <c r="C144" i="5"/>
  <c r="C145" i="5"/>
  <c r="C146" i="5"/>
  <c r="C104" i="5"/>
  <c r="C114" i="5"/>
  <c r="C118" i="5"/>
  <c r="C116" i="5"/>
  <c r="C142" i="5"/>
  <c r="C135" i="5"/>
  <c r="C167" i="5"/>
  <c r="C147" i="5"/>
  <c r="C148" i="5"/>
  <c r="C137" i="5"/>
  <c r="C138" i="5"/>
  <c r="C140" i="5"/>
  <c r="C168" i="5"/>
  <c r="C133" i="5"/>
  <c r="C134" i="5"/>
  <c r="C166" i="5"/>
  <c r="G20" i="13" l="1"/>
  <c r="G4" i="4"/>
  <c r="C29" i="13" l="1"/>
  <c r="C20" i="13"/>
  <c r="C7" i="13"/>
  <c r="G13" i="4"/>
  <c r="G27" i="4"/>
  <c r="G38" i="4"/>
  <c r="D33" i="4"/>
  <c r="D58" i="4"/>
  <c r="D64" i="4"/>
  <c r="D72" i="4"/>
  <c r="D47" i="4"/>
  <c r="D32" i="4"/>
  <c r="D9" i="4"/>
  <c r="D57" i="4"/>
  <c r="D46" i="4"/>
  <c r="D31" i="4"/>
  <c r="D8" i="4"/>
  <c r="D56" i="4"/>
  <c r="D63" i="4"/>
  <c r="D44" i="4"/>
  <c r="D30" i="4"/>
  <c r="D7" i="4"/>
  <c r="D55" i="4"/>
  <c r="D19" i="4"/>
  <c r="D26" i="4"/>
  <c r="D43" i="4"/>
  <c r="D29" i="4"/>
  <c r="D6" i="4"/>
  <c r="D54" i="4"/>
  <c r="D18" i="4"/>
  <c r="D53" i="4"/>
  <c r="D59" i="4"/>
  <c r="D5" i="4"/>
  <c r="D10" i="4"/>
  <c r="D11" i="4"/>
  <c r="D12" i="4"/>
  <c r="D13" i="4"/>
  <c r="D14" i="4"/>
  <c r="D15" i="4"/>
  <c r="D16" i="4"/>
  <c r="D17" i="4"/>
  <c r="D20" i="4"/>
  <c r="D21" i="4"/>
  <c r="D22" i="4"/>
  <c r="D23" i="4"/>
  <c r="D24" i="4"/>
  <c r="D25" i="4"/>
  <c r="D27" i="4"/>
  <c r="D28" i="4"/>
  <c r="D34" i="4"/>
  <c r="D35" i="4"/>
  <c r="D40" i="4"/>
  <c r="D4" i="4"/>
  <c r="D52" i="4"/>
  <c r="D65" i="4"/>
  <c r="D39" i="4"/>
  <c r="D37" i="4"/>
  <c r="D62" i="4"/>
  <c r="D51" i="4"/>
  <c r="D36" i="4"/>
  <c r="D38" i="4"/>
  <c r="D41" i="4"/>
  <c r="D42" i="4"/>
  <c r="D48" i="4"/>
  <c r="D49" i="4"/>
  <c r="D50" i="4"/>
  <c r="D60" i="4"/>
  <c r="D61" i="4"/>
  <c r="D70" i="4"/>
  <c r="D69" i="4"/>
  <c r="D68" i="4"/>
  <c r="D165" i="4" l="1"/>
  <c r="D183" i="4"/>
  <c r="D178" i="4"/>
  <c r="D160" i="4"/>
  <c r="D75" i="4"/>
  <c r="D76" i="4"/>
  <c r="D77" i="4"/>
  <c r="D78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7" i="4"/>
  <c r="D174" i="4" l="1"/>
  <c r="D180" i="4"/>
  <c r="D156" i="4"/>
  <c r="D152" i="4"/>
  <c r="D151" i="4"/>
  <c r="C33" i="16" l="1"/>
  <c r="C32" i="16"/>
  <c r="C31" i="16"/>
  <c r="C30" i="16"/>
  <c r="C29" i="16"/>
  <c r="C28" i="16"/>
  <c r="C27" i="16"/>
  <c r="C26" i="16"/>
  <c r="C25" i="16"/>
  <c r="C24" i="16"/>
  <c r="C20" i="16"/>
  <c r="C19" i="16"/>
  <c r="C18" i="16"/>
  <c r="C14" i="16"/>
  <c r="C13" i="16"/>
  <c r="C12" i="16"/>
  <c r="C11" i="16"/>
  <c r="C10" i="16"/>
  <c r="C9" i="16"/>
  <c r="C45" i="13"/>
  <c r="C44" i="13"/>
  <c r="C43" i="13"/>
  <c r="C42" i="13"/>
  <c r="C41" i="13"/>
  <c r="C40" i="13"/>
  <c r="C39" i="13"/>
  <c r="C37" i="13"/>
  <c r="C36" i="13"/>
  <c r="C35" i="13"/>
  <c r="C34" i="13"/>
  <c r="C33" i="13"/>
  <c r="C32" i="13"/>
  <c r="C31" i="13"/>
  <c r="C28" i="13"/>
  <c r="C27" i="13"/>
  <c r="C26" i="13"/>
  <c r="C23" i="13"/>
  <c r="C22" i="13"/>
  <c r="C21" i="13"/>
  <c r="C19" i="13"/>
  <c r="C18" i="13"/>
  <c r="C17" i="13"/>
  <c r="C16" i="13"/>
  <c r="C15" i="13"/>
  <c r="C14" i="13"/>
  <c r="C13" i="13"/>
  <c r="C12" i="13"/>
  <c r="C11" i="13"/>
  <c r="C10" i="13"/>
  <c r="C9" i="13"/>
  <c r="C6" i="13"/>
  <c r="C5" i="13"/>
  <c r="G4" i="13"/>
  <c r="C4" i="13"/>
  <c r="C82" i="5"/>
  <c r="C81" i="5"/>
  <c r="C80" i="5"/>
  <c r="C79" i="5"/>
  <c r="C78" i="5"/>
  <c r="C77" i="5"/>
  <c r="C76" i="5"/>
  <c r="C75" i="5"/>
  <c r="C74" i="5"/>
  <c r="C73" i="5"/>
  <c r="C72" i="5"/>
  <c r="C71" i="5"/>
  <c r="C68" i="5"/>
  <c r="C67" i="5"/>
  <c r="C66" i="5"/>
  <c r="C65" i="5"/>
  <c r="C63" i="5"/>
  <c r="C62" i="5"/>
  <c r="C61" i="5"/>
  <c r="C59" i="5"/>
  <c r="C58" i="5"/>
  <c r="C57" i="5"/>
  <c r="C56" i="5"/>
  <c r="C55" i="5"/>
  <c r="C54" i="5"/>
  <c r="C53" i="5"/>
  <c r="C52" i="5"/>
  <c r="C51" i="5"/>
  <c r="C50" i="5"/>
  <c r="C49" i="5"/>
  <c r="C48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H31" i="5"/>
  <c r="C31" i="5"/>
  <c r="C30" i="5"/>
  <c r="C29" i="5"/>
  <c r="C28" i="5"/>
  <c r="C27" i="5"/>
  <c r="C26" i="5"/>
  <c r="C25" i="5"/>
  <c r="C24" i="5"/>
  <c r="C23" i="5"/>
  <c r="C22" i="5"/>
  <c r="C21" i="5"/>
  <c r="C20" i="5"/>
  <c r="C14" i="5"/>
  <c r="C13" i="5"/>
  <c r="C12" i="5"/>
  <c r="C11" i="5"/>
  <c r="C10" i="5"/>
  <c r="C9" i="5"/>
  <c r="C8" i="5"/>
  <c r="C7" i="5"/>
  <c r="C4" i="5"/>
  <c r="D182" i="4"/>
  <c r="D181" i="4"/>
  <c r="D179" i="4"/>
  <c r="D177" i="4"/>
  <c r="D176" i="4"/>
  <c r="D173" i="4"/>
  <c r="D172" i="4"/>
  <c r="D171" i="4"/>
  <c r="D170" i="4"/>
  <c r="D169" i="4"/>
  <c r="D168" i="4"/>
  <c r="D167" i="4"/>
  <c r="D166" i="4"/>
  <c r="D164" i="4"/>
  <c r="D163" i="4"/>
  <c r="D162" i="4"/>
  <c r="D161" i="4"/>
  <c r="D159" i="4"/>
  <c r="D158" i="4"/>
  <c r="D157" i="4"/>
  <c r="D154" i="4"/>
  <c r="D153" i="4"/>
  <c r="D150" i="4"/>
  <c r="D71" i="4"/>
  <c r="D67" i="4"/>
  <c r="D66" i="4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E11" i="1"/>
  <c r="D11" i="1"/>
</calcChain>
</file>

<file path=xl/sharedStrings.xml><?xml version="1.0" encoding="utf-8"?>
<sst xmlns="http://schemas.openxmlformats.org/spreadsheetml/2006/main" count="2550" uniqueCount="418">
  <si>
    <t>Железно</t>
  </si>
  <si>
    <t>КСМ</t>
  </si>
  <si>
    <t>УКС Авитек</t>
  </si>
  <si>
    <t>СтройСоюз</t>
  </si>
  <si>
    <t>Сумма</t>
  </si>
  <si>
    <t>ИТОГО:</t>
  </si>
  <si>
    <t>Комнат</t>
  </si>
  <si>
    <t>Площадь</t>
  </si>
  <si>
    <t>Цена</t>
  </si>
  <si>
    <t>Отделка</t>
  </si>
  <si>
    <t>Этаж</t>
  </si>
  <si>
    <t>Цена за кв м</t>
  </si>
  <si>
    <t>Стоимость</t>
  </si>
  <si>
    <t>без отделки</t>
  </si>
  <si>
    <t>2</t>
  </si>
  <si>
    <t>1</t>
  </si>
  <si>
    <t>ст</t>
  </si>
  <si>
    <t>4</t>
  </si>
  <si>
    <t>3</t>
  </si>
  <si>
    <t>Кировспецмонтаж</t>
  </si>
  <si>
    <t xml:space="preserve">УКС Авитек </t>
  </si>
  <si>
    <t xml:space="preserve">СтройСоюз </t>
  </si>
  <si>
    <t>13</t>
  </si>
  <si>
    <t>Метраж</t>
  </si>
  <si>
    <t>Стоимость кв.м</t>
  </si>
  <si>
    <t>Маяковская</t>
  </si>
  <si>
    <t>Булычев</t>
  </si>
  <si>
    <t>6</t>
  </si>
  <si>
    <t>7</t>
  </si>
  <si>
    <t>11</t>
  </si>
  <si>
    <t>9</t>
  </si>
  <si>
    <t>Кол-во квартир</t>
  </si>
  <si>
    <t>Стоимость итого</t>
  </si>
  <si>
    <t>8</t>
  </si>
  <si>
    <t>5</t>
  </si>
  <si>
    <t>Стоимость кв м</t>
  </si>
  <si>
    <t>черновая</t>
  </si>
  <si>
    <t>12</t>
  </si>
  <si>
    <t>Кол-во</t>
  </si>
  <si>
    <t xml:space="preserve">Количество </t>
  </si>
  <si>
    <t>Капитана Дорофеева, 24</t>
  </si>
  <si>
    <t>чистовая</t>
  </si>
  <si>
    <t>ЖК "Заповедный", ул. Сандаловская, 4</t>
  </si>
  <si>
    <t>ЖК "Заповедный", ул. Сандаловская, 4 к1</t>
  </si>
  <si>
    <t>Количество</t>
  </si>
  <si>
    <t>базовая</t>
  </si>
  <si>
    <t>СМУ5</t>
  </si>
  <si>
    <t>Чистопрудненская, 13</t>
  </si>
  <si>
    <t>1,2</t>
  </si>
  <si>
    <t>2,3</t>
  </si>
  <si>
    <t>ЖК "Репинские пруды", секция 1</t>
  </si>
  <si>
    <t>ЖК "Репинские пруды", секция 2</t>
  </si>
  <si>
    <t>ДОМКЛИК</t>
  </si>
  <si>
    <t>САЙТ</t>
  </si>
  <si>
    <t>Алтай-Строй</t>
  </si>
  <si>
    <t>Капитана Дорофеева, 22</t>
  </si>
  <si>
    <t>Зарядное, дом 3</t>
  </si>
  <si>
    <t>ЖК "Видный", Мелькомбинатовский, 3</t>
  </si>
  <si>
    <t>ЖК Грин сити, №14</t>
  </si>
  <si>
    <t>КИНО девелопмент</t>
  </si>
  <si>
    <t>Циан</t>
  </si>
  <si>
    <t>ЖК "Дом на Полевой"</t>
  </si>
  <si>
    <t>ЖК "Мурашинский, 7"</t>
  </si>
  <si>
    <t>ZNAK, 26</t>
  </si>
  <si>
    <t>ЖК "Династия"</t>
  </si>
  <si>
    <t>ПрофСтрой</t>
  </si>
  <si>
    <t>Стоим кв.м.</t>
  </si>
  <si>
    <t>Свободы, 141</t>
  </si>
  <si>
    <t>ЖК "Дом на Горького, 2а"</t>
  </si>
  <si>
    <t>Романа Ердякова, 9</t>
  </si>
  <si>
    <t>17</t>
  </si>
  <si>
    <t>Авито</t>
  </si>
  <si>
    <t>Кино девелопмент</t>
  </si>
  <si>
    <t xml:space="preserve">базовая </t>
  </si>
  <si>
    <t xml:space="preserve">получистовая </t>
  </si>
  <si>
    <t>2,4</t>
  </si>
  <si>
    <t>Красной Звезды, 34</t>
  </si>
  <si>
    <t>ЖК "Сити парк", Парковая, 1б</t>
  </si>
  <si>
    <t>ZNAK, 27</t>
  </si>
  <si>
    <t>Чистопрудненская, д.13а</t>
  </si>
  <si>
    <t>ZNAK, 28</t>
  </si>
  <si>
    <t>ЖК "FUSION", дом 5</t>
  </si>
  <si>
    <t>1,2,8</t>
  </si>
  <si>
    <t>2,8</t>
  </si>
  <si>
    <t>ЖК "Ривер Парк", Прибрежный бульвар, 6, 1 очередь</t>
  </si>
  <si>
    <t>ЖК "Ривер Парк", Прибрежный бульвар, 6, 2 очередь</t>
  </si>
  <si>
    <t>https://kirov.domclick.ru/complexes/zhk-zapovednyi__116348</t>
  </si>
  <si>
    <t>ул Свободы, 115 г</t>
  </si>
  <si>
    <t>https://kirov.domclick.ru/complexes/zhk-po-ul-svobody__121822</t>
  </si>
  <si>
    <t>https://kirov.domclick.ru/complexes/zhk-repinskie-prudy__117732</t>
  </si>
  <si>
    <t>https://www.avito.ru/catalog/novostroyki/kirovskaya_oblast_kirov/zhd_svobody_141/7733450</t>
  </si>
  <si>
    <t>с отделкой</t>
  </si>
  <si>
    <t>2-4</t>
  </si>
  <si>
    <t>Хлебозаводской проезд, 6</t>
  </si>
  <si>
    <t>Домклик https://kirov.domclick.ru/complexes/zhk-dinastiia__122368</t>
  </si>
  <si>
    <t>ЖК "Соловьи"</t>
  </si>
  <si>
    <t>Александра Невского, 10 "Северные ворота"</t>
  </si>
  <si>
    <t>Сретенский посад</t>
  </si>
  <si>
    <t>https://solovyi.sretenskyposad.ru/plans</t>
  </si>
  <si>
    <t>ЖК "Гармония", ул. Ленина, 106</t>
  </si>
  <si>
    <t>Стоим. Кв.м.</t>
  </si>
  <si>
    <t>ПС Недвижимость</t>
  </si>
  <si>
    <t>ЖК "Сити парк", Парковая, 1в</t>
  </si>
  <si>
    <t>3,4</t>
  </si>
  <si>
    <t>АВИТО</t>
  </si>
  <si>
    <t>ЖК "FUSION", дом 2 (Ботаническая, 3)</t>
  </si>
  <si>
    <t>https://zhk-garmoniya-kirov-i.cian.ru/</t>
  </si>
  <si>
    <t>42,5</t>
  </si>
  <si>
    <t>https://www.avito.ru/catalog/novostroyki/kirovskaya_oblast_kirov/zhiloy_dom_na_erdyakova_9/10810087</t>
  </si>
  <si>
    <t>ZNAK, 29</t>
  </si>
  <si>
    <t>Зарядное, дом 4/2</t>
  </si>
  <si>
    <t>Зарядное, дом 4/1</t>
  </si>
  <si>
    <t>12,13</t>
  </si>
  <si>
    <t>Капитана Дорофеева, 20</t>
  </si>
  <si>
    <t>63,5</t>
  </si>
  <si>
    <t>10</t>
  </si>
  <si>
    <t>Советская,75</t>
  </si>
  <si>
    <t>до 30,9 кв.м</t>
  </si>
  <si>
    <t>31-40,9 кв.м</t>
  </si>
  <si>
    <t>41-50,9 кв.м</t>
  </si>
  <si>
    <t>51-60,9 кв.м</t>
  </si>
  <si>
    <t>61-70,9 кв.м</t>
  </si>
  <si>
    <t>71-80,9 кв.м</t>
  </si>
  <si>
    <t>81-90,9 кв.м</t>
  </si>
  <si>
    <t>свыше 91кв.м</t>
  </si>
  <si>
    <t>https://zhk-dom-na-polevoy-kirov-i.cian.ru/</t>
  </si>
  <si>
    <t>https://zhk-murashinskiy-7-kirov-i.cian.ru/</t>
  </si>
  <si>
    <t>3 по 7</t>
  </si>
  <si>
    <t>8 по 12</t>
  </si>
  <si>
    <t>ZNAK, 35</t>
  </si>
  <si>
    <t>15</t>
  </si>
  <si>
    <t>11-13,15,16</t>
  </si>
  <si>
    <t>10,12,15,16</t>
  </si>
  <si>
    <t>5,6</t>
  </si>
  <si>
    <t>2,9,13</t>
  </si>
  <si>
    <t>2,3,5,6,11</t>
  </si>
  <si>
    <t>6,8</t>
  </si>
  <si>
    <t>этаж</t>
  </si>
  <si>
    <t>16</t>
  </si>
  <si>
    <t>14-16</t>
  </si>
  <si>
    <t>8,9</t>
  </si>
  <si>
    <t>3,5</t>
  </si>
  <si>
    <t>12,14</t>
  </si>
  <si>
    <t>8,11</t>
  </si>
  <si>
    <t>https://zhk-fusion-kirov-i.cian.ru/</t>
  </si>
  <si>
    <t>https://zhk-dom-na-gorkogo-2a-kirov-i.cian.ru/</t>
  </si>
  <si>
    <t>ЖК "FUSION", дом 3</t>
  </si>
  <si>
    <t>10,11</t>
  </si>
  <si>
    <t>13,16</t>
  </si>
  <si>
    <t>12,14,16</t>
  </si>
  <si>
    <t>10,13</t>
  </si>
  <si>
    <t>2,3,6,10,13</t>
  </si>
  <si>
    <t>14</t>
  </si>
  <si>
    <t>32,9</t>
  </si>
  <si>
    <t>13,15</t>
  </si>
  <si>
    <t>2-4,6,8,11</t>
  </si>
  <si>
    <t>2-4,6,9,12,14</t>
  </si>
  <si>
    <t>ЖК "Крылья", Попова,5-7</t>
  </si>
  <si>
    <t>Знак 34</t>
  </si>
  <si>
    <t>8 по 10</t>
  </si>
  <si>
    <t>4 по 5</t>
  </si>
  <si>
    <t>ЖК "Репинские пруды", 2 очередь, ул. Блюхера, 46</t>
  </si>
  <si>
    <t>2,15</t>
  </si>
  <si>
    <t>7,9</t>
  </si>
  <si>
    <t>14,16</t>
  </si>
  <si>
    <t>2,4,9</t>
  </si>
  <si>
    <t>2,3,9</t>
  </si>
  <si>
    <t>11,13,14</t>
  </si>
  <si>
    <t>1,8</t>
  </si>
  <si>
    <t>Зарядное, дом 5</t>
  </si>
  <si>
    <t>ЖК "Холмс"</t>
  </si>
  <si>
    <t>https://www.avito.ru/catalog/novostroyki/kirovskaya_oblast_kirov/zhk_holms/15456583</t>
  </si>
  <si>
    <t>Стоимость отделки</t>
  </si>
  <si>
    <t>Стоимость черновой</t>
  </si>
  <si>
    <t>Стоим.кв.м./черн</t>
  </si>
  <si>
    <t>9,15</t>
  </si>
  <si>
    <t>2,3,5</t>
  </si>
  <si>
    <t>13,16,17</t>
  </si>
  <si>
    <t>9,16,17</t>
  </si>
  <si>
    <t>11,13,15,17</t>
  </si>
  <si>
    <t>4,7,16</t>
  </si>
  <si>
    <t>2-5,13,14</t>
  </si>
  <si>
    <t>2,4,7,12-14,16</t>
  </si>
  <si>
    <t>7,11-14,16</t>
  </si>
  <si>
    <t>2,6,8,9,14</t>
  </si>
  <si>
    <t>2-4,9,11,13,15,16</t>
  </si>
  <si>
    <t>8,10</t>
  </si>
  <si>
    <t>Кировский ССК</t>
  </si>
  <si>
    <t>ул. Нагорная, 16</t>
  </si>
  <si>
    <t>48.50</t>
  </si>
  <si>
    <t>30.40</t>
  </si>
  <si>
    <t>83.50</t>
  </si>
  <si>
    <t>4, 6, 8, 11, 12</t>
  </si>
  <si>
    <t>13, 14</t>
  </si>
  <si>
    <t>87.40</t>
  </si>
  <si>
    <t>83.40</t>
  </si>
  <si>
    <t>84.30</t>
  </si>
  <si>
    <t>3, 4, 5, 7, 8</t>
  </si>
  <si>
    <t>86.40</t>
  </si>
  <si>
    <t>56.60</t>
  </si>
  <si>
    <t>61.60</t>
  </si>
  <si>
    <t>15, 16, 17</t>
  </si>
  <si>
    <t>3, 4</t>
  </si>
  <si>
    <t>57.40</t>
  </si>
  <si>
    <t>3, 4, 5, 6, 8, 9, 11, 12, 13, 14, 15, 16</t>
  </si>
  <si>
    <t>83.80</t>
  </si>
  <si>
    <t>66.70</t>
  </si>
  <si>
    <t>83.10</t>
  </si>
  <si>
    <t>Хлебозаводской пр-д, 2</t>
  </si>
  <si>
    <t>34.20</t>
  </si>
  <si>
    <t>34.80</t>
  </si>
  <si>
    <t>35.30</t>
  </si>
  <si>
    <t>35.50</t>
  </si>
  <si>
    <t>36.50</t>
  </si>
  <si>
    <t>48.10</t>
  </si>
  <si>
    <t>48.60</t>
  </si>
  <si>
    <t>48.80</t>
  </si>
  <si>
    <t>54.70</t>
  </si>
  <si>
    <t>67.60</t>
  </si>
  <si>
    <t>67.80</t>
  </si>
  <si>
    <t>72.90</t>
  </si>
  <si>
    <t>73.50</t>
  </si>
  <si>
    <t>88.10</t>
  </si>
  <si>
    <t>88.70</t>
  </si>
  <si>
    <t>ул. Пушкина, 25 к1</t>
  </si>
  <si>
    <t>26.20</t>
  </si>
  <si>
    <t>57.70</t>
  </si>
  <si>
    <t>67.50</t>
  </si>
  <si>
    <t>ул. Московская, 209а</t>
  </si>
  <si>
    <t>Студия</t>
  </si>
  <si>
    <t>27.70</t>
  </si>
  <si>
    <t>38.90</t>
  </si>
  <si>
    <t>10, 11</t>
  </si>
  <si>
    <t>12, 13, 14</t>
  </si>
  <si>
    <t>15, 16</t>
  </si>
  <si>
    <t>39.30</t>
  </si>
  <si>
    <t>47.70</t>
  </si>
  <si>
    <t>3, 4, 5, 6, 7, 8</t>
  </si>
  <si>
    <t>11, 12, 13, 14</t>
  </si>
  <si>
    <t>47.90</t>
  </si>
  <si>
    <t>52.90</t>
  </si>
  <si>
    <t>53.30</t>
  </si>
  <si>
    <t>66.00</t>
  </si>
  <si>
    <t>66.40</t>
  </si>
  <si>
    <t>27.80</t>
  </si>
  <si>
    <t>40.50</t>
  </si>
  <si>
    <t>52.50</t>
  </si>
  <si>
    <t>57.10</t>
  </si>
  <si>
    <t>33.20</t>
  </si>
  <si>
    <t>3, 4, 5, 6, 7</t>
  </si>
  <si>
    <t>53.20</t>
  </si>
  <si>
    <t>53.60</t>
  </si>
  <si>
    <t>66.20</t>
  </si>
  <si>
    <t>83.20</t>
  </si>
  <si>
    <t>83.90</t>
  </si>
  <si>
    <t>65.90</t>
  </si>
  <si>
    <t>66.30</t>
  </si>
  <si>
    <t>66.80</t>
  </si>
  <si>
    <t>83.60</t>
  </si>
  <si>
    <t>28.40</t>
  </si>
  <si>
    <t>29.80</t>
  </si>
  <si>
    <t>31.30</t>
  </si>
  <si>
    <t>2, 3, 4, 5, 6, 8</t>
  </si>
  <si>
    <t>34.90</t>
  </si>
  <si>
    <t>44.30</t>
  </si>
  <si>
    <t>44.80</t>
  </si>
  <si>
    <t>57.90</t>
  </si>
  <si>
    <t>74.20</t>
  </si>
  <si>
    <t>87.20</t>
  </si>
  <si>
    <t>87.90</t>
  </si>
  <si>
    <t>ул. Пушкина, 25</t>
  </si>
  <si>
    <t>26.40</t>
  </si>
  <si>
    <t>39.10</t>
  </si>
  <si>
    <t>6, 7</t>
  </si>
  <si>
    <t>49.10</t>
  </si>
  <si>
    <t>57.60</t>
  </si>
  <si>
    <t>67.70</t>
  </si>
  <si>
    <t>60.10</t>
  </si>
  <si>
    <t>3, 4, 5, 6, 7, 8, 9, 10, 11, 12, 13, 14, 15, 16, 17</t>
  </si>
  <si>
    <t>ул. Воровского, 97</t>
  </si>
  <si>
    <t>66.10</t>
  </si>
  <si>
    <t>99.80</t>
  </si>
  <si>
    <t>10, 12, 13, 14, 15, 16, 17</t>
  </si>
  <si>
    <t>8-10</t>
  </si>
  <si>
    <t>11-14,16</t>
  </si>
  <si>
    <t>13-16</t>
  </si>
  <si>
    <t>8,11,13</t>
  </si>
  <si>
    <t>3-5</t>
  </si>
  <si>
    <t>2-5</t>
  </si>
  <si>
    <t>10,13,14</t>
  </si>
  <si>
    <t>2,3,14</t>
  </si>
  <si>
    <t>2,6,9,11,14</t>
  </si>
  <si>
    <t>Чистопрудненская, 11</t>
  </si>
  <si>
    <t>2,3,11,14</t>
  </si>
  <si>
    <t>2,3,6,12,16</t>
  </si>
  <si>
    <t>ЖК "Ривер Парк", Прибрежный бульвар, 2</t>
  </si>
  <si>
    <t>Алтай Строй</t>
  </si>
  <si>
    <t>https://kirov.domclick.ru/complexes/zhk-grin-siti__113882</t>
  </si>
  <si>
    <t>https://zhk-zapovednyy-kirovskaya-oblast-kirov.avito.ru/</t>
  </si>
  <si>
    <t>ЖК "Заповедный" (четвертая очередь) ул. Сандаловская, 2а/ 2ак1</t>
  </si>
  <si>
    <t>ул. Михеева, 5 - 1с</t>
  </si>
  <si>
    <t>ул. Михеева, 5 - 2с</t>
  </si>
  <si>
    <t>8, 12, 13, 14, 15, 16, 17</t>
  </si>
  <si>
    <t>ул. Михеева, 5 - 3с</t>
  </si>
  <si>
    <t>ул. Михеева, 5 - 4с</t>
  </si>
  <si>
    <t>ул. Московская, 209 - 1с</t>
  </si>
  <si>
    <t>ул. Московская, 209 - 2с</t>
  </si>
  <si>
    <t>14, 15, 16</t>
  </si>
  <si>
    <t>3, 4, 6, 7, 8</t>
  </si>
  <si>
    <t>ул. Потребкооперации, 34 - 3с</t>
  </si>
  <si>
    <t>ул. Потребкооперации, 34 - 2с</t>
  </si>
  <si>
    <t>11, 12, 13</t>
  </si>
  <si>
    <t>12, 13</t>
  </si>
  <si>
    <t>3, 4, 5, 6, 7, 8, 10, 11, 12, 13, 14</t>
  </si>
  <si>
    <t>ул. Потребкооперации, 34 - 1с</t>
  </si>
  <si>
    <t>3, 4, 5, 8, 9, 11, 12</t>
  </si>
  <si>
    <t>3, 4, 5, 6, 7, 8, 9, 10, 11, 12</t>
  </si>
  <si>
    <t>ул. Михеева, 1 - 3с</t>
  </si>
  <si>
    <t>ул. Михеева, 1 - 2с</t>
  </si>
  <si>
    <t>4, 5, 6, 7, 8</t>
  </si>
  <si>
    <t>2, 4</t>
  </si>
  <si>
    <t>2, 3, 4</t>
  </si>
  <si>
    <t>ул. Потребкооперации, 34 к1 - 1с</t>
  </si>
  <si>
    <t>ул. Потребкооперации, 34 к1 - 2с</t>
  </si>
  <si>
    <t>ул. Потребкооперации, 34 к1 - 3с</t>
  </si>
  <si>
    <t xml:space="preserve">4 и 5 </t>
  </si>
  <si>
    <t>Инноград д. 1</t>
  </si>
  <si>
    <t>Знак 22</t>
  </si>
  <si>
    <t>Инноград д.2</t>
  </si>
  <si>
    <t>1 и 2</t>
  </si>
  <si>
    <t>10 и 12</t>
  </si>
  <si>
    <t>9 по 14</t>
  </si>
  <si>
    <t xml:space="preserve">2 и 3 </t>
  </si>
  <si>
    <t>8,9,11</t>
  </si>
  <si>
    <t>8,13,14,16</t>
  </si>
  <si>
    <t>4,7,12,14-16</t>
  </si>
  <si>
    <t>10-12,14</t>
  </si>
  <si>
    <t>11,14,16</t>
  </si>
  <si>
    <t>2,6,14</t>
  </si>
  <si>
    <t>5,11,14</t>
  </si>
  <si>
    <t>3,7,10,14</t>
  </si>
  <si>
    <t>11-14</t>
  </si>
  <si>
    <t>7.8,10-14</t>
  </si>
  <si>
    <t>4-6,8,11,13,14</t>
  </si>
  <si>
    <t>4,11,13,14</t>
  </si>
  <si>
    <t>7,11,12,14</t>
  </si>
  <si>
    <t>4,6,8,11,14,16</t>
  </si>
  <si>
    <t>4,9-11,14</t>
  </si>
  <si>
    <t>11-13</t>
  </si>
  <si>
    <t>6,15,16</t>
  </si>
  <si>
    <t>9,11,14-16</t>
  </si>
  <si>
    <t>11,12,14</t>
  </si>
  <si>
    <t>13.16,17</t>
  </si>
  <si>
    <t>9,13-15</t>
  </si>
  <si>
    <t>13,17</t>
  </si>
  <si>
    <t>12,14,16,17</t>
  </si>
  <si>
    <t>12-14,16,17</t>
  </si>
  <si>
    <t>,13,14</t>
  </si>
  <si>
    <t>11,12</t>
  </si>
  <si>
    <t>2,10,15</t>
  </si>
  <si>
    <t>6,15</t>
  </si>
  <si>
    <t>2,3,6,10,11,15</t>
  </si>
  <si>
    <t>2,11</t>
  </si>
  <si>
    <t>2,6,10,13</t>
  </si>
  <si>
    <t>2,3,13</t>
  </si>
  <si>
    <t>2,12</t>
  </si>
  <si>
    <t>2,3,7,17</t>
  </si>
  <si>
    <t>2,3,12,14,16</t>
  </si>
  <si>
    <t>2-4,11</t>
  </si>
  <si>
    <t>2-4,9</t>
  </si>
  <si>
    <t>2-5,13</t>
  </si>
  <si>
    <t>https://zhk-green-city-kirovskaya-oblast-kirov.avito.ru/</t>
  </si>
  <si>
    <t>ЖК "Маяк", ул. Молодой Гвардии, 84</t>
  </si>
  <si>
    <t>https://zhk-dom-po-ul-molodoy-gvardii-84-kirovskaya-oblast-kirov.avito.ru/</t>
  </si>
  <si>
    <t>https://domoplaner.ru/catalog/585/MYYRQ3/plans/</t>
  </si>
  <si>
    <t>Хлыновская, 21</t>
  </si>
  <si>
    <t>2,3,4</t>
  </si>
  <si>
    <t>7,8,9.10,11</t>
  </si>
  <si>
    <t>12,13,14,15,16</t>
  </si>
  <si>
    <t>7,8,9,10</t>
  </si>
  <si>
    <t>12, 13, 14, 16</t>
  </si>
  <si>
    <t>8, 9, 10, 11, 13, 14, 15, 16, 17</t>
  </si>
  <si>
    <t>11, 13</t>
  </si>
  <si>
    <t>3, 5</t>
  </si>
  <si>
    <t>30.70</t>
  </si>
  <si>
    <t>3, 5, 6, 7, 8, 9, 10, 11, 12, 13</t>
  </si>
  <si>
    <t>2, 3, 4, 5, 6, 7, 8</t>
  </si>
  <si>
    <t>3, 6, 7, 8</t>
  </si>
  <si>
    <t>6, 7, 8</t>
  </si>
  <si>
    <t>3, 4, 6</t>
  </si>
  <si>
    <t>3, 4, 7, 8</t>
  </si>
  <si>
    <t>12, 14, 15, 16</t>
  </si>
  <si>
    <t>9, 10, 11, 12, 13</t>
  </si>
  <si>
    <t>13, 14, 15</t>
  </si>
  <si>
    <t>7, 9, 11</t>
  </si>
  <si>
    <t>9, 10, 11</t>
  </si>
  <si>
    <t>7, 8, 9, 10, 11, 12, 13</t>
  </si>
  <si>
    <t>2, 3, 4, 5, 6, 7, 8, 9, 10, 11, 12, 13</t>
  </si>
  <si>
    <t>10, 11, 12, 13</t>
  </si>
  <si>
    <t>3, 4, 5, 6, 7, 8, 10, 11, 12, 13</t>
  </si>
  <si>
    <t>Заводская, 14 к2</t>
  </si>
  <si>
    <t>41.40</t>
  </si>
  <si>
    <t>41.80</t>
  </si>
  <si>
    <t>47.60</t>
  </si>
  <si>
    <t>47.80</t>
  </si>
  <si>
    <t>48.90</t>
  </si>
  <si>
    <t>49.40</t>
  </si>
  <si>
    <t>56.70</t>
  </si>
  <si>
    <t>56.90</t>
  </si>
  <si>
    <t>57.30</t>
  </si>
  <si>
    <t>60.30</t>
  </si>
  <si>
    <t>3, 4, 5, 7</t>
  </si>
  <si>
    <t>60.70</t>
  </si>
  <si>
    <t>68.50</t>
  </si>
  <si>
    <t>69.10</t>
  </si>
  <si>
    <t>11, 13, 14, 15, 16</t>
  </si>
  <si>
    <t>6, 13, 14, 15</t>
  </si>
  <si>
    <t>6, 12, 15, 16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</si>
</sst>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64" formatCode="#,##0\ _₽"/>
    <numFmt numFmtId="165" formatCode="_-* #,##0\ _₽_-;\-* #,##0\ _₽_-;_-* &quot;-&quot;??\ _₽_-;_-@_-"/>
  </numFmts>
  <fonts count="30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4"/>
      <color rgb="FFFFFFFF"/>
      <name val="Arial"/>
      <family val="2"/>
    </font>
    <font>
      <sz val="14"/>
      <color theme="1"/>
      <name val="Arial"/>
      <family val="2"/>
    </font>
    <font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4"/>
      <name val="Arial"/>
      <family val="2"/>
    </font>
    <font>
      <sz val="10"/>
      <name val="Arial"/>
      <family val="2"/>
      <charset val="204"/>
    </font>
    <font>
      <sz val="10"/>
      <color rgb="FF000000"/>
      <name val="Arial"/>
      <family val="2"/>
    </font>
    <font>
      <sz val="10"/>
      <color rgb="FF000000"/>
      <name val="Calibri"/>
      <family val="2"/>
      <charset val="204"/>
    </font>
    <font>
      <u/>
      <sz val="10"/>
      <color theme="10"/>
      <name val="Arial"/>
      <family val="2"/>
    </font>
    <font>
      <sz val="10"/>
      <color theme="1"/>
      <name val="Arial"/>
      <family val="2"/>
      <charset val="204"/>
    </font>
    <font>
      <u/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name val="Arial"/>
      <family val="2"/>
      <charset val="204"/>
    </font>
    <font>
      <sz val="14"/>
      <name val="Arial"/>
      <family val="2"/>
      <charset val="204"/>
    </font>
    <font>
      <sz val="10"/>
      <color rgb="FF111111"/>
      <name val="Arial"/>
      <family val="2"/>
      <charset val="204"/>
      <scheme val="minor"/>
    </font>
    <font>
      <sz val="14"/>
      <color theme="2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b/>
      <sz val="11"/>
      <name val="Arial"/>
      <family val="2"/>
      <scheme val="minor"/>
    </font>
    <font>
      <u/>
      <sz val="10"/>
      <name val="Arial"/>
      <family val="2"/>
    </font>
    <font>
      <sz val="11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AD1DC"/>
      </patternFill>
    </fill>
    <fill>
      <patternFill patternType="solid">
        <fgColor theme="4" tint="0.59999389629810485"/>
        <bgColor rgb="FFC9DAF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EFEF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4ECFA"/>
        <bgColor indexed="64"/>
      </patternFill>
    </fill>
    <fill>
      <patternFill patternType="solid">
        <fgColor theme="9" tint="0.79998168889431442"/>
        <bgColor rgb="FFCCCCCC"/>
      </patternFill>
    </fill>
    <fill>
      <patternFill patternType="solid">
        <fgColor theme="0"/>
        <bgColor rgb="FFCCCCCC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8" tint="0.79998168889431442"/>
        <bgColor rgb="FFCCCCCC"/>
      </patternFill>
    </fill>
    <fill>
      <patternFill patternType="solid">
        <fgColor theme="6" tint="0.79998168889431442"/>
        <bgColor rgb="FF980000"/>
      </patternFill>
    </fill>
    <fill>
      <patternFill patternType="solid">
        <fgColor theme="4" tint="0.79998168889431442"/>
        <bgColor rgb="FF1C4587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390">
    <xf numFmtId="0" fontId="0" fillId="0" borderId="0" xfId="0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3" fontId="1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0" fillId="0" borderId="3" xfId="0" applyBorder="1"/>
    <xf numFmtId="0" fontId="0" fillId="23" borderId="0" xfId="0" applyFill="1"/>
    <xf numFmtId="0" fontId="6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14" fillId="0" borderId="0" xfId="0" applyFont="1"/>
    <xf numFmtId="0" fontId="12" fillId="8" borderId="12" xfId="0" applyFont="1" applyFill="1" applyBorder="1" applyAlignment="1">
      <alignment horizontal="center"/>
    </xf>
    <xf numFmtId="165" fontId="1" fillId="0" borderId="3" xfId="1" applyNumberFormat="1" applyFont="1" applyBorder="1" applyAlignment="1">
      <alignment horizontal="center"/>
    </xf>
    <xf numFmtId="165" fontId="1" fillId="4" borderId="3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3" fontId="0" fillId="0" borderId="3" xfId="0" applyNumberFormat="1" applyBorder="1"/>
    <xf numFmtId="0" fontId="1" fillId="3" borderId="3" xfId="0" applyFont="1" applyFill="1" applyBorder="1" applyAlignment="1">
      <alignment horizontal="center"/>
    </xf>
    <xf numFmtId="1" fontId="16" fillId="0" borderId="0" xfId="0" applyNumberFormat="1" applyFont="1" applyAlignment="1">
      <alignment horizontal="center" vertical="top" wrapText="1"/>
    </xf>
    <xf numFmtId="0" fontId="6" fillId="18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18" borderId="3" xfId="0" applyFont="1" applyFill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/>
    </xf>
    <xf numFmtId="0" fontId="17" fillId="0" borderId="0" xfId="2" applyAlignment="1">
      <alignment horizontal="left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3" fontId="0" fillId="24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0" fontId="12" fillId="19" borderId="12" xfId="0" applyFont="1" applyFill="1" applyBorder="1" applyAlignment="1">
      <alignment horizontal="center"/>
    </xf>
    <xf numFmtId="0" fontId="17" fillId="0" borderId="0" xfId="2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16" borderId="12" xfId="0" applyFont="1" applyFill="1" applyBorder="1" applyAlignment="1">
      <alignment horizontal="center"/>
    </xf>
    <xf numFmtId="0" fontId="12" fillId="17" borderId="12" xfId="0" applyFont="1" applyFill="1" applyBorder="1" applyAlignment="1">
      <alignment horizontal="center"/>
    </xf>
    <xf numFmtId="0" fontId="12" fillId="20" borderId="12" xfId="0" applyFont="1" applyFill="1" applyBorder="1" applyAlignment="1">
      <alignment horizontal="center"/>
    </xf>
    <xf numFmtId="0" fontId="12" fillId="25" borderId="12" xfId="0" applyFont="1" applyFill="1" applyBorder="1" applyAlignment="1">
      <alignment horizontal="center"/>
    </xf>
    <xf numFmtId="0" fontId="12" fillId="26" borderId="12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6" fillId="0" borderId="0" xfId="0" applyFont="1"/>
    <xf numFmtId="49" fontId="14" fillId="0" borderId="3" xfId="0" applyNumberFormat="1" applyFont="1" applyBorder="1" applyAlignment="1">
      <alignment horizontal="center"/>
    </xf>
    <xf numFmtId="3" fontId="14" fillId="0" borderId="3" xfId="0" applyNumberFormat="1" applyFont="1" applyBorder="1" applyAlignment="1">
      <alignment horizontal="center"/>
    </xf>
    <xf numFmtId="3" fontId="14" fillId="0" borderId="0" xfId="0" applyNumberFormat="1" applyFont="1"/>
    <xf numFmtId="3" fontId="8" fillId="0" borderId="0" xfId="0" applyNumberFormat="1" applyFont="1"/>
    <xf numFmtId="0" fontId="8" fillId="0" borderId="0" xfId="0" applyFont="1"/>
    <xf numFmtId="0" fontId="14" fillId="10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49" fontId="14" fillId="2" borderId="3" xfId="0" applyNumberFormat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3" fontId="14" fillId="24" borderId="3" xfId="0" applyNumberFormat="1" applyFont="1" applyFill="1" applyBorder="1" applyAlignment="1">
      <alignment horizontal="center"/>
    </xf>
    <xf numFmtId="49" fontId="14" fillId="24" borderId="3" xfId="0" applyNumberFormat="1" applyFont="1" applyFill="1" applyBorder="1" applyAlignment="1">
      <alignment horizontal="center"/>
    </xf>
    <xf numFmtId="0" fontId="14" fillId="24" borderId="0" xfId="0" applyFont="1" applyFill="1" applyAlignment="1">
      <alignment horizontal="center" vertical="center"/>
    </xf>
    <xf numFmtId="0" fontId="14" fillId="19" borderId="3" xfId="0" applyFont="1" applyFill="1" applyBorder="1" applyAlignment="1">
      <alignment horizontal="center"/>
    </xf>
    <xf numFmtId="49" fontId="14" fillId="19" borderId="3" xfId="0" applyNumberFormat="1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19" borderId="12" xfId="0" applyFont="1" applyFill="1" applyBorder="1" applyAlignment="1">
      <alignment horizontal="center"/>
    </xf>
    <xf numFmtId="49" fontId="14" fillId="19" borderId="12" xfId="0" applyNumberFormat="1" applyFont="1" applyFill="1" applyBorder="1" applyAlignment="1">
      <alignment horizontal="center"/>
    </xf>
    <xf numFmtId="0" fontId="14" fillId="19" borderId="16" xfId="0" applyFont="1" applyFill="1" applyBorder="1" applyAlignment="1">
      <alignment horizontal="center"/>
    </xf>
    <xf numFmtId="3" fontId="14" fillId="0" borderId="12" xfId="0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24" borderId="3" xfId="0" applyFont="1" applyFill="1" applyBorder="1" applyAlignment="1">
      <alignment horizontal="center"/>
    </xf>
    <xf numFmtId="0" fontId="14" fillId="24" borderId="3" xfId="0" applyFont="1" applyFill="1" applyBorder="1" applyAlignment="1">
      <alignment horizontal="center" vertical="center"/>
    </xf>
    <xf numFmtId="3" fontId="14" fillId="0" borderId="3" xfId="0" applyNumberFormat="1" applyFont="1" applyBorder="1"/>
    <xf numFmtId="0" fontId="14" fillId="0" borderId="5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7" fillId="0" borderId="0" xfId="2" applyAlignment="1">
      <alignment horizontal="center"/>
    </xf>
    <xf numFmtId="165" fontId="14" fillId="0" borderId="3" xfId="1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49" fontId="14" fillId="0" borderId="3" xfId="0" applyNumberFormat="1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 vertical="center"/>
    </xf>
    <xf numFmtId="3" fontId="14" fillId="0" borderId="3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3" fontId="1" fillId="0" borderId="3" xfId="0" applyNumberFormat="1" applyFont="1" applyFill="1" applyBorder="1" applyAlignment="1">
      <alignment horizontal="center"/>
    </xf>
    <xf numFmtId="0" fontId="3" fillId="0" borderId="0" xfId="0" applyFont="1" applyBorder="1"/>
    <xf numFmtId="0" fontId="12" fillId="3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7" fillId="0" borderId="10" xfId="2" applyBorder="1" applyAlignment="1">
      <alignment horizontal="left"/>
    </xf>
    <xf numFmtId="49" fontId="6" fillId="0" borderId="3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0" xfId="0" applyBorder="1"/>
    <xf numFmtId="0" fontId="18" fillId="0" borderId="3" xfId="0" applyFont="1" applyFill="1" applyBorder="1" applyAlignment="1">
      <alignment horizontal="center"/>
    </xf>
    <xf numFmtId="3" fontId="18" fillId="0" borderId="3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4" fillId="20" borderId="0" xfId="0" applyFont="1" applyFill="1" applyAlignment="1">
      <alignment horizontal="center"/>
    </xf>
    <xf numFmtId="0" fontId="19" fillId="0" borderId="0" xfId="2" applyFont="1" applyAlignment="1">
      <alignment horizontal="center"/>
    </xf>
    <xf numFmtId="0" fontId="14" fillId="18" borderId="12" xfId="0" applyFont="1" applyFill="1" applyBorder="1" applyAlignment="1">
      <alignment horizontal="center"/>
    </xf>
    <xf numFmtId="0" fontId="14" fillId="18" borderId="1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9" fillId="0" borderId="0" xfId="2" applyFont="1" applyAlignment="1">
      <alignment horizontal="left"/>
    </xf>
    <xf numFmtId="0" fontId="14" fillId="24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165" fontId="21" fillId="0" borderId="3" xfId="1" applyNumberFormat="1" applyFont="1" applyBorder="1" applyAlignment="1">
      <alignment horizontal="center"/>
    </xf>
    <xf numFmtId="3" fontId="21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top" wrapText="1"/>
    </xf>
    <xf numFmtId="3" fontId="21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top" wrapText="1"/>
    </xf>
    <xf numFmtId="0" fontId="21" fillId="0" borderId="3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2" fillId="0" borderId="43" xfId="0" applyFont="1" applyBorder="1"/>
    <xf numFmtId="0" fontId="11" fillId="26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top" wrapText="1"/>
    </xf>
    <xf numFmtId="0" fontId="0" fillId="15" borderId="3" xfId="0" applyFill="1" applyBorder="1" applyAlignment="1">
      <alignment horizontal="center" vertical="top" wrapText="1"/>
    </xf>
    <xf numFmtId="0" fontId="0" fillId="14" borderId="3" xfId="0" applyFill="1" applyBorder="1" applyAlignment="1">
      <alignment horizontal="center" vertical="top" wrapText="1"/>
    </xf>
    <xf numFmtId="0" fontId="11" fillId="15" borderId="3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3" fontId="11" fillId="20" borderId="3" xfId="0" applyNumberFormat="1" applyFont="1" applyFill="1" applyBorder="1" applyAlignment="1">
      <alignment horizontal="center" vertical="center" wrapText="1"/>
    </xf>
    <xf numFmtId="3" fontId="11" fillId="25" borderId="3" xfId="0" applyNumberFormat="1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top" wrapText="1"/>
    </xf>
    <xf numFmtId="3" fontId="11" fillId="15" borderId="3" xfId="0" applyNumberFormat="1" applyFont="1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top" wrapText="1"/>
    </xf>
    <xf numFmtId="3" fontId="8" fillId="11" borderId="3" xfId="0" applyNumberFormat="1" applyFont="1" applyFill="1" applyBorder="1" applyAlignment="1">
      <alignment horizontal="center" vertical="top" wrapText="1"/>
    </xf>
    <xf numFmtId="3" fontId="2" fillId="8" borderId="13" xfId="0" applyNumberFormat="1" applyFont="1" applyFill="1" applyBorder="1" applyAlignment="1">
      <alignment horizontal="center"/>
    </xf>
    <xf numFmtId="3" fontId="2" fillId="12" borderId="13" xfId="0" applyNumberFormat="1" applyFont="1" applyFill="1" applyBorder="1" applyAlignment="1">
      <alignment horizontal="center"/>
    </xf>
    <xf numFmtId="3" fontId="2" fillId="13" borderId="13" xfId="0" applyNumberFormat="1" applyFont="1" applyFill="1" applyBorder="1" applyAlignment="1">
      <alignment horizontal="center"/>
    </xf>
    <xf numFmtId="0" fontId="2" fillId="16" borderId="13" xfId="0" applyFont="1" applyFill="1" applyBorder="1" applyAlignment="1">
      <alignment horizontal="center"/>
    </xf>
    <xf numFmtId="3" fontId="2" fillId="16" borderId="13" xfId="0" applyNumberFormat="1" applyFont="1" applyFill="1" applyBorder="1" applyAlignment="1">
      <alignment horizontal="center"/>
    </xf>
    <xf numFmtId="3" fontId="2" fillId="17" borderId="13" xfId="0" applyNumberFormat="1" applyFont="1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3" fontId="2" fillId="19" borderId="13" xfId="0" applyNumberFormat="1" applyFont="1" applyFill="1" applyBorder="1" applyAlignment="1">
      <alignment horizontal="center"/>
    </xf>
    <xf numFmtId="3" fontId="2" fillId="20" borderId="13" xfId="0" applyNumberFormat="1" applyFont="1" applyFill="1" applyBorder="1" applyAlignment="1">
      <alignment horizontal="center"/>
    </xf>
    <xf numFmtId="3" fontId="2" fillId="25" borderId="13" xfId="0" applyNumberFormat="1" applyFont="1" applyFill="1" applyBorder="1" applyAlignment="1">
      <alignment horizontal="center"/>
    </xf>
    <xf numFmtId="3" fontId="2" fillId="26" borderId="13" xfId="0" applyNumberFormat="1" applyFont="1" applyFill="1" applyBorder="1" applyAlignment="1">
      <alignment horizontal="center"/>
    </xf>
    <xf numFmtId="3" fontId="2" fillId="0" borderId="30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2" fillId="15" borderId="13" xfId="0" applyNumberFormat="1" applyFont="1" applyFill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1" fillId="11" borderId="3" xfId="0" applyNumberFormat="1" applyFont="1" applyFill="1" applyBorder="1" applyAlignment="1">
      <alignment horizontal="center" vertical="center" wrapText="1"/>
    </xf>
    <xf numFmtId="0" fontId="6" fillId="27" borderId="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16" fontId="1" fillId="0" borderId="12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13" xfId="0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0" fontId="22" fillId="0" borderId="3" xfId="0" applyFont="1" applyFill="1" applyBorder="1" applyAlignment="1">
      <alignment horizontal="center" vertical="center"/>
    </xf>
    <xf numFmtId="3" fontId="14" fillId="0" borderId="19" xfId="0" applyNumberFormat="1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7" fillId="0" borderId="30" xfId="0" applyFont="1" applyBorder="1"/>
    <xf numFmtId="0" fontId="7" fillId="3" borderId="0" xfId="0" applyFont="1" applyFill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9" fillId="0" borderId="13" xfId="2" applyFont="1" applyBorder="1" applyAlignment="1">
      <alignment horizontal="left"/>
    </xf>
    <xf numFmtId="0" fontId="19" fillId="0" borderId="5" xfId="2" applyFont="1" applyBorder="1" applyAlignment="1">
      <alignment horizontal="left"/>
    </xf>
    <xf numFmtId="0" fontId="19" fillId="0" borderId="3" xfId="0" applyFont="1" applyFill="1" applyBorder="1" applyAlignment="1">
      <alignment horizontal="center"/>
    </xf>
    <xf numFmtId="0" fontId="11" fillId="15" borderId="44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1" xfId="0" applyFont="1" applyBorder="1"/>
    <xf numFmtId="0" fontId="12" fillId="8" borderId="44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 vertical="center" wrapText="1"/>
    </xf>
    <xf numFmtId="3" fontId="2" fillId="8" borderId="30" xfId="0" applyNumberFormat="1" applyFont="1" applyFill="1" applyBorder="1" applyAlignment="1">
      <alignment horizontal="center"/>
    </xf>
    <xf numFmtId="0" fontId="2" fillId="29" borderId="13" xfId="0" applyFont="1" applyFill="1" applyBorder="1" applyAlignment="1">
      <alignment horizontal="center"/>
    </xf>
    <xf numFmtId="3" fontId="2" fillId="29" borderId="13" xfId="0" applyNumberFormat="1" applyFont="1" applyFill="1" applyBorder="1" applyAlignment="1">
      <alignment horizontal="center"/>
    </xf>
    <xf numFmtId="0" fontId="7" fillId="29" borderId="12" xfId="0" applyFont="1" applyFill="1" applyBorder="1" applyAlignment="1">
      <alignment horizontal="center"/>
    </xf>
    <xf numFmtId="0" fontId="11" fillId="29" borderId="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3" fontId="0" fillId="0" borderId="0" xfId="0" applyNumberFormat="1"/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3" fontId="14" fillId="2" borderId="3" xfId="0" applyNumberFormat="1" applyFont="1" applyFill="1" applyBorder="1" applyAlignment="1">
      <alignment horizontal="center"/>
    </xf>
    <xf numFmtId="3" fontId="14" fillId="24" borderId="12" xfId="0" applyNumberFormat="1" applyFont="1" applyFill="1" applyBorder="1" applyAlignment="1">
      <alignment horizontal="center"/>
    </xf>
    <xf numFmtId="3" fontId="14" fillId="19" borderId="3" xfId="0" applyNumberFormat="1" applyFont="1" applyFill="1" applyBorder="1" applyAlignment="1">
      <alignment horizontal="center"/>
    </xf>
    <xf numFmtId="3" fontId="14" fillId="19" borderId="12" xfId="0" applyNumberFormat="1" applyFont="1" applyFill="1" applyBorder="1" applyAlignment="1">
      <alignment horizontal="center"/>
    </xf>
    <xf numFmtId="3" fontId="14" fillId="0" borderId="0" xfId="0" applyNumberFormat="1" applyFont="1" applyFill="1" applyAlignment="1">
      <alignment horizontal="center"/>
    </xf>
    <xf numFmtId="3" fontId="14" fillId="24" borderId="0" xfId="0" applyNumberFormat="1" applyFont="1" applyFill="1" applyAlignment="1">
      <alignment horizontal="center"/>
    </xf>
    <xf numFmtId="0" fontId="11" fillId="15" borderId="7" xfId="0" applyFont="1" applyFill="1" applyBorder="1" applyAlignment="1">
      <alignment horizontal="center" vertical="center" wrapText="1"/>
    </xf>
    <xf numFmtId="0" fontId="11" fillId="20" borderId="3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/>
    </xf>
    <xf numFmtId="3" fontId="26" fillId="18" borderId="3" xfId="0" applyNumberFormat="1" applyFont="1" applyFill="1" applyBorder="1" applyAlignment="1">
      <alignment horizontal="center"/>
    </xf>
    <xf numFmtId="0" fontId="26" fillId="0" borderId="3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3" fontId="24" fillId="0" borderId="3" xfId="0" applyNumberFormat="1" applyFont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3" fontId="11" fillId="9" borderId="3" xfId="0" applyNumberFormat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14" borderId="3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3" fontId="14" fillId="0" borderId="27" xfId="0" applyNumberFormat="1" applyFont="1" applyFill="1" applyBorder="1" applyAlignment="1">
      <alignment horizontal="center"/>
    </xf>
    <xf numFmtId="164" fontId="14" fillId="0" borderId="27" xfId="0" applyNumberFormat="1" applyFont="1" applyFill="1" applyBorder="1" applyAlignment="1">
      <alignment horizontal="center"/>
    </xf>
    <xf numFmtId="49" fontId="14" fillId="0" borderId="27" xfId="0" applyNumberFormat="1" applyFont="1" applyFill="1" applyBorder="1" applyAlignment="1">
      <alignment horizontal="center"/>
    </xf>
    <xf numFmtId="0" fontId="22" fillId="0" borderId="27" xfId="0" applyFont="1" applyFill="1" applyBorder="1" applyAlignment="1">
      <alignment horizontal="center"/>
    </xf>
    <xf numFmtId="3" fontId="14" fillId="0" borderId="28" xfId="0" applyNumberFormat="1" applyFont="1" applyFill="1" applyBorder="1" applyAlignment="1">
      <alignment horizontal="center"/>
    </xf>
    <xf numFmtId="164" fontId="14" fillId="0" borderId="28" xfId="0" applyNumberFormat="1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164" fontId="14" fillId="0" borderId="0" xfId="0" applyNumberFormat="1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49" fontId="14" fillId="0" borderId="0" xfId="0" applyNumberFormat="1" applyFont="1" applyFill="1" applyAlignment="1">
      <alignment horizontal="center"/>
    </xf>
    <xf numFmtId="0" fontId="3" fillId="0" borderId="0" xfId="0" applyFont="1"/>
    <xf numFmtId="0" fontId="28" fillId="0" borderId="0" xfId="2" applyFont="1" applyAlignment="1">
      <alignment horizontal="left"/>
    </xf>
    <xf numFmtId="0" fontId="29" fillId="18" borderId="3" xfId="0" applyFont="1" applyFill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/>
    <xf numFmtId="0" fontId="3" fillId="0" borderId="3" xfId="0" applyFont="1" applyFill="1" applyBorder="1" applyAlignment="1">
      <alignment horizontal="center"/>
    </xf>
    <xf numFmtId="165" fontId="0" fillId="0" borderId="3" xfId="1" applyNumberFormat="1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12" fillId="29" borderId="11" xfId="0" applyFont="1" applyFill="1" applyBorder="1" applyAlignment="1">
      <alignment horizontal="center"/>
    </xf>
    <xf numFmtId="0" fontId="12" fillId="29" borderId="7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26" borderId="3" xfId="0" applyFont="1" applyFill="1" applyBorder="1" applyAlignment="1">
      <alignment horizontal="center"/>
    </xf>
    <xf numFmtId="0" fontId="7" fillId="25" borderId="3" xfId="0" applyFont="1" applyFill="1" applyBorder="1" applyAlignment="1">
      <alignment horizontal="center"/>
    </xf>
    <xf numFmtId="0" fontId="7" fillId="20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26" fillId="10" borderId="3" xfId="0" applyFont="1" applyFill="1" applyBorder="1" applyAlignment="1">
      <alignment horizontal="center"/>
    </xf>
    <xf numFmtId="0" fontId="25" fillId="28" borderId="3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7" fillId="10" borderId="45" xfId="0" applyFont="1" applyFill="1" applyBorder="1" applyAlignment="1">
      <alignment horizontal="center"/>
    </xf>
    <xf numFmtId="0" fontId="7" fillId="10" borderId="44" xfId="0" applyFont="1" applyFill="1" applyBorder="1" applyAlignment="1">
      <alignment horizontal="center"/>
    </xf>
    <xf numFmtId="0" fontId="7" fillId="10" borderId="20" xfId="0" applyFont="1" applyFill="1" applyBorder="1" applyAlignment="1">
      <alignment horizontal="center"/>
    </xf>
    <xf numFmtId="0" fontId="7" fillId="10" borderId="21" xfId="0" applyFont="1" applyFill="1" applyBorder="1" applyAlignment="1">
      <alignment horizontal="center"/>
    </xf>
    <xf numFmtId="0" fontId="7" fillId="10" borderId="22" xfId="0" applyFont="1" applyFill="1" applyBorder="1" applyAlignment="1">
      <alignment horizontal="center"/>
    </xf>
    <xf numFmtId="0" fontId="7" fillId="10" borderId="31" xfId="0" applyFont="1" applyFill="1" applyBorder="1" applyAlignment="1">
      <alignment horizontal="center"/>
    </xf>
    <xf numFmtId="0" fontId="7" fillId="10" borderId="32" xfId="0" applyFont="1" applyFill="1" applyBorder="1" applyAlignment="1">
      <alignment horizontal="center"/>
    </xf>
    <xf numFmtId="0" fontId="7" fillId="10" borderId="33" xfId="0" applyFont="1" applyFill="1" applyBorder="1" applyAlignment="1">
      <alignment horizontal="center"/>
    </xf>
    <xf numFmtId="0" fontId="7" fillId="10" borderId="36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37" xfId="0" applyFont="1" applyFill="1" applyBorder="1" applyAlignment="1">
      <alignment horizontal="center"/>
    </xf>
    <xf numFmtId="3" fontId="7" fillId="10" borderId="21" xfId="0" applyNumberFormat="1" applyFont="1" applyFill="1" applyBorder="1" applyAlignment="1">
      <alignment horizontal="center"/>
    </xf>
    <xf numFmtId="3" fontId="7" fillId="10" borderId="22" xfId="0" applyNumberFormat="1" applyFont="1" applyFill="1" applyBorder="1" applyAlignment="1">
      <alignment horizontal="center"/>
    </xf>
    <xf numFmtId="0" fontId="7" fillId="10" borderId="24" xfId="0" applyFont="1" applyFill="1" applyBorder="1" applyAlignment="1">
      <alignment horizontal="center"/>
    </xf>
    <xf numFmtId="0" fontId="7" fillId="10" borderId="25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10" borderId="3" xfId="0" applyFont="1" applyFill="1" applyBorder="1"/>
    <xf numFmtId="0" fontId="14" fillId="10" borderId="3" xfId="0" applyFont="1" applyFill="1" applyBorder="1" applyAlignment="1">
      <alignment horizontal="center"/>
    </xf>
    <xf numFmtId="0" fontId="14" fillId="10" borderId="11" xfId="0" applyFont="1" applyFill="1" applyBorder="1"/>
    <xf numFmtId="0" fontId="14" fillId="3" borderId="12" xfId="0" applyFont="1" applyFill="1" applyBorder="1" applyAlignment="1">
      <alignment horizontal="center"/>
    </xf>
    <xf numFmtId="0" fontId="14" fillId="10" borderId="12" xfId="0" applyFont="1" applyFill="1" applyBorder="1"/>
    <xf numFmtId="0" fontId="23" fillId="35" borderId="3" xfId="0" applyFont="1" applyFill="1" applyBorder="1" applyAlignment="1">
      <alignment horizontal="center"/>
    </xf>
    <xf numFmtId="0" fontId="14" fillId="9" borderId="3" xfId="0" applyFont="1" applyFill="1" applyBorder="1"/>
    <xf numFmtId="0" fontId="23" fillId="11" borderId="3" xfId="0" applyFont="1" applyFill="1" applyBorder="1" applyAlignment="1">
      <alignment horizontal="center"/>
    </xf>
    <xf numFmtId="0" fontId="13" fillId="34" borderId="17" xfId="0" applyFont="1" applyFill="1" applyBorder="1" applyAlignment="1">
      <alignment horizontal="center"/>
    </xf>
    <xf numFmtId="0" fontId="13" fillId="34" borderId="0" xfId="0" applyFont="1" applyFill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0" fontId="3" fillId="22" borderId="2" xfId="0" applyFont="1" applyFill="1" applyBorder="1"/>
    <xf numFmtId="0" fontId="12" fillId="3" borderId="3" xfId="0" applyFont="1" applyFill="1" applyBorder="1" applyAlignment="1">
      <alignment horizontal="center"/>
    </xf>
    <xf numFmtId="0" fontId="7" fillId="0" borderId="3" xfId="0" applyFont="1" applyBorder="1"/>
    <xf numFmtId="0" fontId="12" fillId="3" borderId="1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12" fillId="3" borderId="14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14" fillId="0" borderId="2" xfId="0" applyFont="1" applyBorder="1"/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5" fillId="30" borderId="17" xfId="0" applyFont="1" applyFill="1" applyBorder="1" applyAlignment="1">
      <alignment horizontal="center"/>
    </xf>
    <xf numFmtId="0" fontId="5" fillId="30" borderId="0" xfId="0" applyFont="1" applyFill="1" applyAlignment="1">
      <alignment horizontal="center"/>
    </xf>
    <xf numFmtId="0" fontId="5" fillId="30" borderId="18" xfId="0" applyFont="1" applyFill="1" applyBorder="1" applyAlignment="1">
      <alignment horizontal="center"/>
    </xf>
    <xf numFmtId="0" fontId="7" fillId="10" borderId="35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7" fillId="10" borderId="30" xfId="0" applyFont="1" applyFill="1" applyBorder="1" applyAlignment="1">
      <alignment horizontal="center"/>
    </xf>
    <xf numFmtId="0" fontId="5" fillId="33" borderId="17" xfId="0" applyFont="1" applyFill="1" applyBorder="1" applyAlignment="1">
      <alignment horizontal="center"/>
    </xf>
    <xf numFmtId="0" fontId="5" fillId="33" borderId="0" xfId="0" applyFont="1" applyFill="1" applyAlignment="1">
      <alignment horizontal="center"/>
    </xf>
    <xf numFmtId="0" fontId="5" fillId="33" borderId="18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5" fillId="31" borderId="17" xfId="0" applyFont="1" applyFill="1" applyBorder="1" applyAlignment="1">
      <alignment horizontal="center"/>
    </xf>
    <xf numFmtId="0" fontId="5" fillId="31" borderId="0" xfId="0" applyFont="1" applyFill="1" applyAlignment="1">
      <alignment horizontal="center"/>
    </xf>
    <xf numFmtId="0" fontId="5" fillId="31" borderId="18" xfId="0" applyFont="1" applyFill="1" applyBorder="1" applyAlignment="1">
      <alignment horizontal="center"/>
    </xf>
    <xf numFmtId="0" fontId="27" fillId="10" borderId="3" xfId="0" applyFont="1" applyFill="1" applyBorder="1" applyAlignment="1">
      <alignment horizontal="center"/>
    </xf>
    <xf numFmtId="0" fontId="13" fillId="32" borderId="17" xfId="0" applyFont="1" applyFill="1" applyBorder="1" applyAlignment="1">
      <alignment horizontal="center"/>
    </xf>
    <xf numFmtId="0" fontId="13" fillId="32" borderId="0" xfId="0" applyFont="1" applyFill="1" applyAlignment="1">
      <alignment horizontal="center"/>
    </xf>
    <xf numFmtId="0" fontId="13" fillId="32" borderId="18" xfId="0" applyFont="1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4" fillId="0" borderId="46" xfId="0" applyFont="1" applyBorder="1" applyAlignment="1">
      <alignment horizontal="center" vertical="center" wrapText="1"/>
    </xf>
    <xf numFmtId="3" fontId="24" fillId="0" borderId="46" xfId="0" applyNumberFormat="1" applyFont="1" applyBorder="1" applyAlignment="1">
      <alignment horizontal="center" vertical="center" wrapText="1"/>
    </xf>
    <xf numFmtId="0" fontId="17" fillId="0" borderId="3" xfId="2" applyBorder="1"/>
    <xf numFmtId="0" fontId="7" fillId="10" borderId="47" xfId="0" applyFont="1" applyFill="1" applyBorder="1" applyAlignment="1">
      <alignment horizontal="center"/>
    </xf>
    <xf numFmtId="0" fontId="7" fillId="10" borderId="48" xfId="0" applyFont="1" applyFill="1" applyBorder="1" applyAlignment="1">
      <alignment horizontal="center"/>
    </xf>
    <xf numFmtId="0" fontId="14" fillId="0" borderId="0" xfId="0" applyFont="1" applyFill="1"/>
    <xf numFmtId="0" fontId="22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/>
    </xf>
    <xf numFmtId="164" fontId="14" fillId="0" borderId="19" xfId="0" applyNumberFormat="1" applyFont="1" applyFill="1" applyBorder="1" applyAlignment="1">
      <alignment horizontal="center"/>
    </xf>
    <xf numFmtId="0" fontId="22" fillId="0" borderId="27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/>
    </xf>
    <xf numFmtId="49" fontId="14" fillId="0" borderId="28" xfId="0" applyNumberFormat="1" applyFont="1" applyFill="1" applyBorder="1" applyAlignment="1">
      <alignment horizontal="center"/>
    </xf>
    <xf numFmtId="0" fontId="22" fillId="0" borderId="28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22" fillId="0" borderId="26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164" fontId="14" fillId="0" borderId="40" xfId="0" applyNumberFormat="1" applyFont="1" applyFill="1" applyBorder="1" applyAlignment="1">
      <alignment horizontal="center"/>
    </xf>
    <xf numFmtId="49" fontId="14" fillId="0" borderId="40" xfId="0" applyNumberFormat="1" applyFont="1" applyFill="1" applyBorder="1" applyAlignment="1">
      <alignment horizontal="center"/>
    </xf>
    <xf numFmtId="0" fontId="22" fillId="0" borderId="40" xfId="0" applyFont="1" applyFill="1" applyBorder="1" applyAlignment="1">
      <alignment horizontal="center"/>
    </xf>
    <xf numFmtId="0" fontId="22" fillId="0" borderId="41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164" fontId="14" fillId="0" borderId="42" xfId="0" applyNumberFormat="1" applyFont="1" applyFill="1" applyBorder="1" applyAlignment="1">
      <alignment horizontal="center"/>
    </xf>
    <xf numFmtId="49" fontId="14" fillId="0" borderId="42" xfId="0" applyNumberFormat="1" applyFont="1" applyFill="1" applyBorder="1" applyAlignment="1">
      <alignment horizontal="center"/>
    </xf>
    <xf numFmtId="49" fontId="14" fillId="0" borderId="19" xfId="0" applyNumberFormat="1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3" fontId="14" fillId="0" borderId="32" xfId="0" applyNumberFormat="1" applyFont="1" applyFill="1" applyBorder="1" applyAlignment="1">
      <alignment horizontal="center"/>
    </xf>
    <xf numFmtId="164" fontId="14" fillId="0" borderId="32" xfId="0" applyNumberFormat="1" applyFont="1" applyFill="1" applyBorder="1" applyAlignment="1">
      <alignment horizontal="center"/>
    </xf>
    <xf numFmtId="49" fontId="14" fillId="0" borderId="32" xfId="0" applyNumberFormat="1" applyFont="1" applyFill="1" applyBorder="1" applyAlignment="1">
      <alignment horizontal="center"/>
    </xf>
    <xf numFmtId="3" fontId="14" fillId="0" borderId="3" xfId="0" applyNumberFormat="1" applyFont="1" applyFill="1" applyBorder="1" applyAlignment="1">
      <alignment horizontal="center" vertical="center"/>
    </xf>
    <xf numFmtId="164" fontId="14" fillId="0" borderId="3" xfId="0" applyNumberFormat="1" applyFont="1" applyFill="1" applyBorder="1" applyAlignment="1">
      <alignment horizontal="center" vertical="center"/>
    </xf>
    <xf numFmtId="3" fontId="14" fillId="0" borderId="13" xfId="0" applyNumberFormat="1" applyFont="1" applyFill="1" applyBorder="1" applyAlignment="1">
      <alignment horizontal="center" vertical="center"/>
    </xf>
    <xf numFmtId="164" fontId="14" fillId="0" borderId="13" xfId="0" applyNumberFormat="1" applyFont="1" applyFill="1" applyBorder="1" applyAlignment="1">
      <alignment horizontal="center"/>
    </xf>
    <xf numFmtId="0" fontId="14" fillId="0" borderId="13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/>
    </xf>
    <xf numFmtId="3" fontId="14" fillId="0" borderId="12" xfId="0" applyNumberFormat="1" applyFont="1" applyFill="1" applyBorder="1" applyAlignment="1">
      <alignment horizontal="center"/>
    </xf>
    <xf numFmtId="164" fontId="14" fillId="0" borderId="12" xfId="0" applyNumberFormat="1" applyFont="1" applyFill="1" applyBorder="1" applyAlignment="1">
      <alignment horizontal="center"/>
    </xf>
    <xf numFmtId="164" fontId="14" fillId="0" borderId="0" xfId="0" applyNumberFormat="1" applyFont="1" applyFill="1"/>
    <xf numFmtId="0" fontId="23" fillId="7" borderId="11" xfId="0" applyFont="1" applyFill="1" applyBorder="1" applyAlignment="1">
      <alignment horizontal="center"/>
    </xf>
    <xf numFmtId="0" fontId="23" fillId="7" borderId="9" xfId="0" applyFont="1" applyFill="1" applyBorder="1" applyAlignment="1">
      <alignment horizontal="center"/>
    </xf>
    <xf numFmtId="0" fontId="23" fillId="7" borderId="7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3" fillId="18" borderId="12" xfId="0" applyFont="1" applyFill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7" fillId="0" borderId="12" xfId="0" applyFont="1" applyBorder="1"/>
    <xf numFmtId="3" fontId="11" fillId="18" borderId="11" xfId="0" applyNumberFormat="1" applyFont="1" applyFill="1" applyBorder="1" applyAlignment="1">
      <alignment horizontal="center" vertical="center" wrapText="1"/>
    </xf>
    <xf numFmtId="0" fontId="11" fillId="25" borderId="7" xfId="0" applyFont="1" applyFill="1" applyBorder="1" applyAlignment="1">
      <alignment horizontal="center" vertical="center" wrapText="1"/>
    </xf>
    <xf numFmtId="3" fontId="11" fillId="25" borderId="7" xfId="0" applyNumberFormat="1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 vertical="top" wrapText="1"/>
    </xf>
    <xf numFmtId="0" fontId="0" fillId="20" borderId="3" xfId="0" applyFill="1" applyBorder="1" applyAlignment="1">
      <alignment horizontal="center" vertical="top" wrapText="1"/>
    </xf>
    <xf numFmtId="3" fontId="11" fillId="29" borderId="3" xfId="0" applyNumberFormat="1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4ECFA"/>
      <color rgb="FFE6D5F3"/>
      <color rgb="FFC4D9F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zhk-dom-po-ul-molodoy-gvardii-84-kirovskaya-oblast-kirov.avito.ru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hyperlink" Target="https://kirov.domclick.ru/complexes/zhk-zapovednyi__116348" TargetMode="External"/><Relationship Id="rId7" Type="http://schemas.openxmlformats.org/officeDocument/2006/relationships/hyperlink" Target="https://kirov.domclick.ru/complexes/zhk-grin-siti__113882" TargetMode="External"/><Relationship Id="rId2" Type="http://schemas.openxmlformats.org/officeDocument/2006/relationships/hyperlink" Target="https://kirov.domclick.ru/complexes/zhk-zapovednyi__116348" TargetMode="External"/><Relationship Id="rId1" Type="http://schemas.openxmlformats.org/officeDocument/2006/relationships/hyperlink" Target="https://kirov.domclick.ru/complexes/zhk-po-ul-svobody__121822" TargetMode="External"/><Relationship Id="rId6" Type="http://schemas.openxmlformats.org/officeDocument/2006/relationships/hyperlink" Target="https://zhk-zapovednyy-kirovskaya-oblast-kirov.avito.ru/" TargetMode="External"/><Relationship Id="rId5" Type="http://schemas.openxmlformats.org/officeDocument/2006/relationships/hyperlink" Target="https://www.avito.ru/catalog/novostroyki/kirovskaya_oblast_kirov/zhk_holms/15456583" TargetMode="External"/><Relationship Id="rId4" Type="http://schemas.openxmlformats.org/officeDocument/2006/relationships/hyperlink" Target="https://kirov.domclick.ru/complexes/zhk-repinskie-prudy__11773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zhk-fusion-kirov-i.cian.ru/" TargetMode="External"/><Relationship Id="rId2" Type="http://schemas.openxmlformats.org/officeDocument/2006/relationships/hyperlink" Target="https://zhk-dom-na-gorkogo-2a-kirov-i.cian.ru/" TargetMode="External"/><Relationship Id="rId1" Type="http://schemas.openxmlformats.org/officeDocument/2006/relationships/hyperlink" Target="https://zhk-fusion-kirov-i.cian.ru/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zhk-murashinskiy-7-kirov-i.cian.ru/" TargetMode="External"/><Relationship Id="rId1" Type="http://schemas.openxmlformats.org/officeDocument/2006/relationships/hyperlink" Target="https://zhk-dom-na-polevoy-kirov-i.cian.ru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avito.ru/catalog/novostroyki/kirovskaya_oblast_kirov/zhiloy_dom_na_erdyakova_9/10810087" TargetMode="External"/><Relationship Id="rId1" Type="http://schemas.openxmlformats.org/officeDocument/2006/relationships/hyperlink" Target="https://www.avito.ru/catalog/novostroyki/kirovskaya_oblast_kirov/zhd_svobody_141/7733450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solovyi.sretenskyposad.ru/plans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zhk-garmoniya-kirov-i.cian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51"/>
  <sheetViews>
    <sheetView tabSelected="1" zoomScaleNormal="100" workbookViewId="0">
      <selection activeCell="B19" sqref="B19"/>
    </sheetView>
  </sheetViews>
  <sheetFormatPr defaultColWidth="14.42578125" defaultRowHeight="15.75" customHeight="1" x14ac:dyDescent="0.2"/>
  <cols>
    <col min="2" max="2" width="13.42578125" style="7" customWidth="1"/>
    <col min="3" max="3" width="16.140625" style="7" customWidth="1"/>
    <col min="4" max="4" width="12.42578125" style="7" customWidth="1"/>
    <col min="5" max="5" width="16" style="7" customWidth="1"/>
    <col min="6" max="7" width="16.28515625" style="7" customWidth="1"/>
    <col min="8" max="8" width="19.42578125" style="7" customWidth="1"/>
    <col min="9" max="9" width="17" style="7" customWidth="1"/>
    <col min="10" max="10" width="12.28515625" style="7" customWidth="1"/>
    <col min="11" max="11" width="15.42578125" style="7" customWidth="1"/>
    <col min="12" max="12" width="16.85546875" style="7" customWidth="1"/>
    <col min="13" max="13" width="15.140625" style="7" customWidth="1"/>
    <col min="14" max="14" width="12.7109375" style="7" customWidth="1"/>
    <col min="15" max="15" width="15.28515625" style="7" customWidth="1"/>
    <col min="16" max="16" width="12.7109375" style="7" customWidth="1"/>
    <col min="17" max="17" width="14.42578125" style="7"/>
    <col min="18" max="18" width="15.28515625" style="7" customWidth="1"/>
    <col min="19" max="19" width="16.28515625" style="7" customWidth="1"/>
    <col min="20" max="25" width="14.42578125" style="7"/>
  </cols>
  <sheetData>
    <row r="1" spans="1:25" ht="15.75" customHeight="1" x14ac:dyDescent="0.2">
      <c r="A1" s="186"/>
      <c r="B1" s="241" t="s">
        <v>187</v>
      </c>
      <c r="C1" s="242"/>
      <c r="D1" s="245" t="s">
        <v>0</v>
      </c>
      <c r="E1" s="246"/>
      <c r="F1" s="251" t="s">
        <v>25</v>
      </c>
      <c r="G1" s="251"/>
      <c r="H1" s="247" t="s">
        <v>1</v>
      </c>
      <c r="I1" s="248"/>
      <c r="J1" s="255" t="s">
        <v>2</v>
      </c>
      <c r="K1" s="255"/>
      <c r="L1" s="249" t="s">
        <v>3</v>
      </c>
      <c r="M1" s="250"/>
      <c r="N1" s="256" t="s">
        <v>72</v>
      </c>
      <c r="O1" s="257"/>
      <c r="P1" s="254" t="s">
        <v>46</v>
      </c>
      <c r="Q1" s="254"/>
      <c r="R1" s="253" t="s">
        <v>54</v>
      </c>
      <c r="S1" s="253"/>
      <c r="T1" s="252" t="s">
        <v>65</v>
      </c>
      <c r="U1" s="252"/>
      <c r="V1" s="244" t="s">
        <v>97</v>
      </c>
      <c r="W1" s="244"/>
      <c r="X1" s="243" t="s">
        <v>101</v>
      </c>
      <c r="Y1" s="243"/>
    </row>
    <row r="2" spans="1:25" ht="15.75" customHeight="1" x14ac:dyDescent="0.2">
      <c r="A2" s="129"/>
      <c r="B2" s="193" t="s">
        <v>44</v>
      </c>
      <c r="C2" s="193" t="s">
        <v>4</v>
      </c>
      <c r="D2" s="188" t="s">
        <v>39</v>
      </c>
      <c r="E2" s="21" t="s">
        <v>4</v>
      </c>
      <c r="F2" s="41" t="s">
        <v>39</v>
      </c>
      <c r="G2" s="41" t="s">
        <v>4</v>
      </c>
      <c r="H2" s="42" t="s">
        <v>39</v>
      </c>
      <c r="I2" s="42" t="s">
        <v>4</v>
      </c>
      <c r="J2" s="47" t="s">
        <v>39</v>
      </c>
      <c r="K2" s="47" t="s">
        <v>4</v>
      </c>
      <c r="L2" s="48" t="s">
        <v>39</v>
      </c>
      <c r="M2" s="48" t="s">
        <v>4</v>
      </c>
      <c r="N2" s="43" t="s">
        <v>39</v>
      </c>
      <c r="O2" s="43" t="s">
        <v>4</v>
      </c>
      <c r="P2" s="49" t="s">
        <v>39</v>
      </c>
      <c r="Q2" s="49" t="s">
        <v>4</v>
      </c>
      <c r="R2" s="50" t="s">
        <v>39</v>
      </c>
      <c r="S2" s="50" t="s">
        <v>4</v>
      </c>
      <c r="T2" s="51" t="s">
        <v>39</v>
      </c>
      <c r="U2" s="51" t="s">
        <v>4</v>
      </c>
      <c r="V2" s="52" t="s">
        <v>39</v>
      </c>
      <c r="W2" s="52" t="s">
        <v>4</v>
      </c>
      <c r="X2" s="53" t="s">
        <v>39</v>
      </c>
      <c r="Y2" s="53" t="s">
        <v>4</v>
      </c>
    </row>
    <row r="3" spans="1:25" ht="15.75" customHeight="1" x14ac:dyDescent="0.2">
      <c r="A3" s="187" t="s">
        <v>117</v>
      </c>
      <c r="B3" s="194">
        <v>33</v>
      </c>
      <c r="C3" s="194">
        <v>129194300</v>
      </c>
      <c r="D3" s="189">
        <v>7</v>
      </c>
      <c r="E3" s="137">
        <v>44175439</v>
      </c>
      <c r="F3" s="138">
        <v>1</v>
      </c>
      <c r="G3" s="161">
        <v>3626500</v>
      </c>
      <c r="H3" s="212"/>
      <c r="I3" s="213"/>
      <c r="J3" s="134"/>
      <c r="K3" s="134"/>
      <c r="L3" s="135"/>
      <c r="M3" s="135"/>
      <c r="N3" s="139">
        <v>17</v>
      </c>
      <c r="O3" s="384">
        <v>52667779</v>
      </c>
      <c r="P3" s="206">
        <v>7</v>
      </c>
      <c r="Q3" s="140">
        <v>51491250</v>
      </c>
      <c r="R3" s="385"/>
      <c r="S3" s="141"/>
      <c r="T3" s="131"/>
      <c r="U3" s="131"/>
      <c r="V3" s="132"/>
      <c r="W3" s="132"/>
      <c r="X3" s="182"/>
      <c r="Y3" s="183"/>
    </row>
    <row r="4" spans="1:25" ht="15.75" customHeight="1" x14ac:dyDescent="0.2">
      <c r="A4" s="187" t="s">
        <v>118</v>
      </c>
      <c r="B4" s="194">
        <v>84</v>
      </c>
      <c r="C4" s="194">
        <v>501480600</v>
      </c>
      <c r="D4" s="189">
        <v>27</v>
      </c>
      <c r="E4" s="137">
        <v>192862594</v>
      </c>
      <c r="F4" s="142">
        <v>2</v>
      </c>
      <c r="G4" s="161">
        <v>8910000</v>
      </c>
      <c r="H4" s="212"/>
      <c r="I4" s="213"/>
      <c r="J4" s="136"/>
      <c r="K4" s="136"/>
      <c r="L4" s="214"/>
      <c r="M4" s="214"/>
      <c r="N4" s="139">
        <v>12</v>
      </c>
      <c r="O4" s="384">
        <v>57560900</v>
      </c>
      <c r="P4" s="206">
        <v>7</v>
      </c>
      <c r="Q4" s="206">
        <v>49312000</v>
      </c>
      <c r="R4" s="386">
        <v>93</v>
      </c>
      <c r="S4" s="141">
        <v>591049768</v>
      </c>
      <c r="T4" s="133"/>
      <c r="U4" s="133"/>
      <c r="V4" s="132"/>
      <c r="W4" s="215"/>
      <c r="X4" s="205"/>
      <c r="Y4" s="143"/>
    </row>
    <row r="5" spans="1:25" ht="15.75" customHeight="1" x14ac:dyDescent="0.2">
      <c r="A5" s="187" t="s">
        <v>119</v>
      </c>
      <c r="B5" s="194">
        <v>104</v>
      </c>
      <c r="C5" s="194">
        <v>695799490</v>
      </c>
      <c r="D5" s="189">
        <v>90</v>
      </c>
      <c r="E5" s="137">
        <v>734884694</v>
      </c>
      <c r="F5" s="138">
        <v>29</v>
      </c>
      <c r="G5" s="161">
        <v>137918750</v>
      </c>
      <c r="H5" s="212"/>
      <c r="I5" s="213"/>
      <c r="J5" s="136"/>
      <c r="K5" s="136"/>
      <c r="L5" s="214"/>
      <c r="M5" s="214"/>
      <c r="N5" s="139">
        <v>27</v>
      </c>
      <c r="O5" s="384">
        <v>148524493</v>
      </c>
      <c r="P5" s="206">
        <v>12</v>
      </c>
      <c r="Q5" s="140">
        <v>123230660</v>
      </c>
      <c r="R5" s="385">
        <v>35</v>
      </c>
      <c r="S5" s="141">
        <v>260024510</v>
      </c>
      <c r="T5" s="131">
        <v>32</v>
      </c>
      <c r="U5" s="131">
        <v>188132940</v>
      </c>
      <c r="V5" s="132"/>
      <c r="W5" s="215"/>
      <c r="X5" s="205"/>
      <c r="Y5" s="143"/>
    </row>
    <row r="6" spans="1:25" ht="15.75" customHeight="1" x14ac:dyDescent="0.2">
      <c r="A6" s="187" t="s">
        <v>120</v>
      </c>
      <c r="B6" s="194">
        <v>123</v>
      </c>
      <c r="C6" s="194">
        <v>870156164</v>
      </c>
      <c r="D6" s="189">
        <v>38</v>
      </c>
      <c r="E6" s="137">
        <v>374971158</v>
      </c>
      <c r="F6" s="138">
        <v>16</v>
      </c>
      <c r="G6" s="161">
        <v>96199550</v>
      </c>
      <c r="H6" s="212"/>
      <c r="I6" s="213"/>
      <c r="J6" s="136"/>
      <c r="K6" s="136"/>
      <c r="L6" s="214"/>
      <c r="M6" s="214"/>
      <c r="N6" s="139">
        <v>26</v>
      </c>
      <c r="O6" s="384">
        <v>186029843</v>
      </c>
      <c r="P6" s="206">
        <v>34</v>
      </c>
      <c r="Q6" s="140">
        <v>337393960</v>
      </c>
      <c r="R6" s="385">
        <v>54</v>
      </c>
      <c r="S6" s="141">
        <v>415378901</v>
      </c>
      <c r="T6" s="131">
        <v>8</v>
      </c>
      <c r="U6" s="131">
        <v>59620000</v>
      </c>
      <c r="V6" s="132"/>
      <c r="W6" s="215"/>
      <c r="X6" s="205">
        <v>7</v>
      </c>
      <c r="Y6" s="143">
        <v>76175820</v>
      </c>
    </row>
    <row r="7" spans="1:25" ht="15.75" customHeight="1" x14ac:dyDescent="0.2">
      <c r="A7" s="187" t="s">
        <v>121</v>
      </c>
      <c r="B7" s="194">
        <v>95</v>
      </c>
      <c r="C7" s="194">
        <v>798047460</v>
      </c>
      <c r="D7" s="189">
        <v>82</v>
      </c>
      <c r="E7" s="137">
        <v>885775388</v>
      </c>
      <c r="F7" s="138">
        <v>26</v>
      </c>
      <c r="G7" s="161">
        <v>203055700</v>
      </c>
      <c r="H7" s="212"/>
      <c r="I7" s="213"/>
      <c r="J7" s="136"/>
      <c r="K7" s="136"/>
      <c r="L7" s="214"/>
      <c r="M7" s="214"/>
      <c r="N7" s="139"/>
      <c r="O7" s="384"/>
      <c r="P7" s="206">
        <v>25</v>
      </c>
      <c r="Q7" s="140">
        <v>306801090</v>
      </c>
      <c r="R7" s="385">
        <v>56</v>
      </c>
      <c r="S7" s="141">
        <v>535382540</v>
      </c>
      <c r="T7" s="131"/>
      <c r="U7" s="131"/>
      <c r="V7" s="132"/>
      <c r="W7" s="215"/>
      <c r="X7" s="205">
        <v>16</v>
      </c>
      <c r="Y7" s="143">
        <v>204547158</v>
      </c>
    </row>
    <row r="8" spans="1:25" ht="15.75" customHeight="1" x14ac:dyDescent="0.2">
      <c r="A8" s="187" t="s">
        <v>122</v>
      </c>
      <c r="B8" s="194">
        <v>21</v>
      </c>
      <c r="C8" s="194">
        <v>239582650</v>
      </c>
      <c r="D8" s="189">
        <v>41</v>
      </c>
      <c r="E8" s="137">
        <v>505521535</v>
      </c>
      <c r="F8" s="138">
        <v>20</v>
      </c>
      <c r="G8" s="161">
        <v>197126850</v>
      </c>
      <c r="H8" s="212"/>
      <c r="I8" s="213"/>
      <c r="J8" s="136"/>
      <c r="K8" s="136"/>
      <c r="L8" s="214"/>
      <c r="M8" s="214"/>
      <c r="N8" s="139">
        <v>6</v>
      </c>
      <c r="O8" s="384">
        <v>105657377</v>
      </c>
      <c r="P8" s="206">
        <v>10</v>
      </c>
      <c r="Q8" s="206">
        <v>131901900</v>
      </c>
      <c r="R8" s="385">
        <v>27</v>
      </c>
      <c r="S8" s="141">
        <v>297403360</v>
      </c>
      <c r="T8" s="131"/>
      <c r="U8" s="131"/>
      <c r="V8" s="132"/>
      <c r="W8" s="132"/>
      <c r="X8" s="205">
        <v>2</v>
      </c>
      <c r="Y8" s="143">
        <v>28268930</v>
      </c>
    </row>
    <row r="9" spans="1:25" ht="15.75" customHeight="1" x14ac:dyDescent="0.2">
      <c r="A9" s="187" t="s">
        <v>123</v>
      </c>
      <c r="B9" s="194">
        <v>122</v>
      </c>
      <c r="C9" s="194">
        <v>1206857340</v>
      </c>
      <c r="D9" s="189">
        <v>31</v>
      </c>
      <c r="E9" s="137">
        <v>380059856</v>
      </c>
      <c r="F9" s="138">
        <v>7</v>
      </c>
      <c r="G9" s="161">
        <v>77083950</v>
      </c>
      <c r="H9" s="212"/>
      <c r="I9" s="213"/>
      <c r="J9" s="136"/>
      <c r="K9" s="136"/>
      <c r="L9" s="214"/>
      <c r="M9" s="214"/>
      <c r="N9" s="139">
        <v>5</v>
      </c>
      <c r="O9" s="384">
        <v>82146203</v>
      </c>
      <c r="P9" s="388"/>
      <c r="Q9" s="388"/>
      <c r="R9" s="387"/>
      <c r="S9" s="144"/>
      <c r="T9" s="131"/>
      <c r="U9" s="131"/>
      <c r="V9" s="132"/>
      <c r="W9" s="132"/>
      <c r="X9" s="205">
        <v>1</v>
      </c>
      <c r="Y9" s="143">
        <v>17870090</v>
      </c>
    </row>
    <row r="10" spans="1:25" ht="15.75" customHeight="1" x14ac:dyDescent="0.2">
      <c r="A10" s="187" t="s">
        <v>124</v>
      </c>
      <c r="B10" s="194">
        <v>1</v>
      </c>
      <c r="C10" s="389">
        <v>16966000</v>
      </c>
      <c r="D10" s="189">
        <v>20</v>
      </c>
      <c r="E10" s="137">
        <v>266787608</v>
      </c>
      <c r="F10" s="145"/>
      <c r="G10" s="145"/>
      <c r="H10" s="212"/>
      <c r="I10" s="213"/>
      <c r="J10" s="134"/>
      <c r="K10" s="134"/>
      <c r="L10" s="214"/>
      <c r="M10" s="216"/>
      <c r="N10" s="139">
        <v>7</v>
      </c>
      <c r="O10" s="384">
        <v>135802671</v>
      </c>
      <c r="P10" s="206">
        <v>14</v>
      </c>
      <c r="Q10" s="140">
        <v>278396300</v>
      </c>
      <c r="R10" s="385">
        <v>2</v>
      </c>
      <c r="S10" s="141">
        <v>45068350</v>
      </c>
      <c r="T10" s="131"/>
      <c r="U10" s="131"/>
      <c r="V10" s="132"/>
      <c r="W10" s="132"/>
      <c r="X10" s="205"/>
      <c r="Y10" s="143"/>
    </row>
    <row r="11" spans="1:25" ht="15.75" customHeight="1" x14ac:dyDescent="0.2">
      <c r="A11" s="130" t="s">
        <v>5</v>
      </c>
      <c r="B11" s="191">
        <f>B10+B9+B8+B7+B6+B5+B4+B3</f>
        <v>583</v>
      </c>
      <c r="C11" s="192">
        <f>C10+C9+C8+C7+C6+C5+C4+C3</f>
        <v>4458084004</v>
      </c>
      <c r="D11" s="190">
        <f>D10+D9+D8+D7+D6+D5+D4+D3</f>
        <v>336</v>
      </c>
      <c r="E11" s="146">
        <f>E10+E9+E8+E7+E6+E5+E4+E3</f>
        <v>3385038272</v>
      </c>
      <c r="F11" s="147">
        <f>F9+F8+F7+F6+F5+F4+F3</f>
        <v>101</v>
      </c>
      <c r="G11" s="147">
        <f>G9+G8+G7+G6+G5+G4+G3</f>
        <v>723921300</v>
      </c>
      <c r="H11" s="148">
        <f>H10+H9+H8+H7+H6+H5+H4+H3</f>
        <v>0</v>
      </c>
      <c r="I11" s="148">
        <f>I10+I9+I8+I7+I6+I5+I4+I3</f>
        <v>0</v>
      </c>
      <c r="J11" s="149">
        <f>J10+J9+J8+J7+J6+J5+J4</f>
        <v>0</v>
      </c>
      <c r="K11" s="150">
        <f>K10+K9+K8+K7+K6+K5+K4</f>
        <v>0</v>
      </c>
      <c r="L11" s="151">
        <f>L9+L8+L7+L6+L5+L4</f>
        <v>0</v>
      </c>
      <c r="M11" s="151">
        <f>M9+M8+M7+M6+M5+M4</f>
        <v>0</v>
      </c>
      <c r="N11" s="152">
        <f>N9+N8+N7+N6+N5+N4</f>
        <v>76</v>
      </c>
      <c r="O11" s="153">
        <f>O9+O8+O7+O6+O5+O4</f>
        <v>579918816</v>
      </c>
      <c r="P11" s="154">
        <f t="shared" ref="P11:Y11" si="0">P4+P5+P6+P7+P8+P9+P10</f>
        <v>102</v>
      </c>
      <c r="Q11" s="154">
        <f t="shared" si="0"/>
        <v>1227035910</v>
      </c>
      <c r="R11" s="155">
        <f t="shared" si="0"/>
        <v>267</v>
      </c>
      <c r="S11" s="155">
        <f t="shared" si="0"/>
        <v>2144307429</v>
      </c>
      <c r="T11" s="156">
        <f t="shared" si="0"/>
        <v>40</v>
      </c>
      <c r="U11" s="156">
        <f t="shared" si="0"/>
        <v>247752940</v>
      </c>
      <c r="V11" s="157">
        <f t="shared" si="0"/>
        <v>0</v>
      </c>
      <c r="W11" s="158">
        <f t="shared" si="0"/>
        <v>0</v>
      </c>
      <c r="X11" s="159">
        <f t="shared" si="0"/>
        <v>26</v>
      </c>
      <c r="Y11" s="159">
        <f t="shared" si="0"/>
        <v>326861998</v>
      </c>
    </row>
    <row r="12" spans="1:25" ht="15.75" hidden="1" customHeight="1" x14ac:dyDescent="0.2">
      <c r="E12" s="1"/>
      <c r="F12" s="1"/>
      <c r="G12" s="1"/>
      <c r="I12" s="1"/>
    </row>
    <row r="13" spans="1:25" ht="15.75" hidden="1" customHeight="1" x14ac:dyDescent="0.2">
      <c r="E13" s="1"/>
      <c r="F13" s="1"/>
      <c r="G13" s="1"/>
      <c r="I13" s="1"/>
    </row>
    <row r="14" spans="1:25" ht="15.75" customHeight="1" x14ac:dyDescent="0.2">
      <c r="I14" s="1"/>
    </row>
    <row r="15" spans="1:25" ht="15.75" customHeight="1" x14ac:dyDescent="0.2">
      <c r="E15" s="1"/>
      <c r="F15" s="1"/>
      <c r="G15" s="1"/>
      <c r="I15" s="1"/>
    </row>
    <row r="16" spans="1:25" ht="15.75" customHeight="1" x14ac:dyDescent="0.2">
      <c r="E16" s="1"/>
      <c r="F16" s="1"/>
      <c r="G16" s="1"/>
      <c r="I16" s="1"/>
    </row>
    <row r="17" spans="1:9" ht="12.75" x14ac:dyDescent="0.2">
      <c r="A17" s="13"/>
      <c r="B17" s="217"/>
      <c r="C17" s="217"/>
      <c r="E17" s="217"/>
      <c r="F17" s="1"/>
      <c r="G17" s="1"/>
      <c r="I17" s="1"/>
    </row>
    <row r="18" spans="1:9" ht="12.75" x14ac:dyDescent="0.2">
      <c r="A18" s="14"/>
      <c r="B18" s="218"/>
      <c r="C18" s="218"/>
      <c r="D18" s="219"/>
      <c r="E18" s="218"/>
      <c r="F18" s="1"/>
      <c r="G18" s="1"/>
      <c r="I18" s="1"/>
    </row>
    <row r="19" spans="1:9" ht="12.75" x14ac:dyDescent="0.2">
      <c r="E19" s="1"/>
      <c r="F19" s="1"/>
      <c r="G19" s="1"/>
      <c r="I19" s="1"/>
    </row>
    <row r="20" spans="1:9" ht="12.75" x14ac:dyDescent="0.2">
      <c r="E20" s="1"/>
      <c r="F20" s="1"/>
      <c r="G20" s="1"/>
      <c r="I20" s="1"/>
    </row>
    <row r="21" spans="1:9" ht="12.75" x14ac:dyDescent="0.2">
      <c r="E21" s="1"/>
      <c r="F21" s="1"/>
      <c r="G21" s="1"/>
      <c r="I21" s="1"/>
    </row>
    <row r="22" spans="1:9" ht="12.75" x14ac:dyDescent="0.2">
      <c r="E22" s="1"/>
      <c r="F22" s="1"/>
      <c r="G22" s="1"/>
      <c r="I22" s="1"/>
    </row>
    <row r="23" spans="1:9" ht="12.75" x14ac:dyDescent="0.2">
      <c r="E23" s="1"/>
      <c r="F23" s="1"/>
      <c r="G23" s="1"/>
      <c r="I23" s="1"/>
    </row>
    <row r="24" spans="1:9" ht="12.75" x14ac:dyDescent="0.2">
      <c r="E24" s="1"/>
      <c r="F24" s="1"/>
      <c r="G24" s="1"/>
      <c r="I24" s="1"/>
    </row>
    <row r="25" spans="1:9" ht="12.75" x14ac:dyDescent="0.2">
      <c r="E25" s="1"/>
      <c r="F25" s="1"/>
      <c r="G25" s="1"/>
      <c r="I25" s="1"/>
    </row>
    <row r="26" spans="1:9" ht="12.75" x14ac:dyDescent="0.2">
      <c r="E26" s="1"/>
      <c r="F26" s="1"/>
      <c r="G26" s="1"/>
      <c r="I26" s="1"/>
    </row>
    <row r="27" spans="1:9" ht="12.75" x14ac:dyDescent="0.2">
      <c r="E27" s="1"/>
      <c r="F27" s="1"/>
      <c r="G27" s="1"/>
      <c r="I27" s="1"/>
    </row>
    <row r="28" spans="1:9" ht="12.75" x14ac:dyDescent="0.2">
      <c r="E28" s="1"/>
      <c r="F28" s="1"/>
      <c r="G28" s="1"/>
      <c r="I28" s="1"/>
    </row>
    <row r="29" spans="1:9" ht="12.75" x14ac:dyDescent="0.2">
      <c r="E29" s="1"/>
      <c r="F29" s="1"/>
      <c r="G29" s="1"/>
      <c r="I29" s="1"/>
    </row>
    <row r="30" spans="1:9" ht="12.75" x14ac:dyDescent="0.2">
      <c r="E30" s="1"/>
      <c r="F30" s="1"/>
      <c r="G30" s="1"/>
      <c r="I30" s="1"/>
    </row>
    <row r="31" spans="1:9" ht="12.75" x14ac:dyDescent="0.2">
      <c r="E31" s="1"/>
      <c r="F31" s="1"/>
      <c r="G31" s="1"/>
      <c r="I31" s="1"/>
    </row>
    <row r="32" spans="1:9" ht="12.75" x14ac:dyDescent="0.2">
      <c r="E32" s="1"/>
      <c r="F32" s="1"/>
      <c r="G32" s="1"/>
      <c r="I32" s="1"/>
    </row>
    <row r="33" spans="5:9" ht="12.75" x14ac:dyDescent="0.2">
      <c r="E33" s="1"/>
      <c r="F33" s="1"/>
      <c r="G33" s="1"/>
      <c r="I33" s="1"/>
    </row>
    <row r="34" spans="5:9" ht="12.75" x14ac:dyDescent="0.2">
      <c r="E34" s="1"/>
      <c r="F34" s="1"/>
      <c r="G34" s="1"/>
      <c r="I34" s="1"/>
    </row>
    <row r="35" spans="5:9" ht="12.75" x14ac:dyDescent="0.2">
      <c r="E35" s="1"/>
      <c r="F35" s="1"/>
      <c r="G35" s="1"/>
      <c r="I35" s="1"/>
    </row>
    <row r="36" spans="5:9" ht="12.75" x14ac:dyDescent="0.2">
      <c r="E36" s="1"/>
      <c r="F36" s="1"/>
      <c r="G36" s="1"/>
      <c r="I36" s="1"/>
    </row>
    <row r="37" spans="5:9" ht="12.75" x14ac:dyDescent="0.2">
      <c r="E37" s="1"/>
      <c r="F37" s="1"/>
      <c r="G37" s="1"/>
      <c r="I37" s="1"/>
    </row>
    <row r="38" spans="5:9" ht="12.75" x14ac:dyDescent="0.2">
      <c r="E38" s="1"/>
      <c r="F38" s="1"/>
      <c r="G38" s="1"/>
      <c r="I38" s="1"/>
    </row>
    <row r="39" spans="5:9" ht="12.75" x14ac:dyDescent="0.2">
      <c r="E39" s="1"/>
      <c r="F39" s="1"/>
      <c r="G39" s="1"/>
      <c r="I39" s="1"/>
    </row>
    <row r="40" spans="5:9" ht="12.75" x14ac:dyDescent="0.2">
      <c r="E40" s="1"/>
      <c r="F40" s="1"/>
      <c r="G40" s="1"/>
      <c r="I40" s="1"/>
    </row>
    <row r="41" spans="5:9" ht="12.75" x14ac:dyDescent="0.2">
      <c r="E41" s="1"/>
      <c r="F41" s="1"/>
      <c r="G41" s="1"/>
      <c r="I41" s="1"/>
    </row>
    <row r="42" spans="5:9" ht="12.75" x14ac:dyDescent="0.2">
      <c r="E42" s="1"/>
      <c r="F42" s="1"/>
      <c r="G42" s="1"/>
      <c r="I42" s="1"/>
    </row>
    <row r="43" spans="5:9" ht="12.75" x14ac:dyDescent="0.2">
      <c r="E43" s="1"/>
      <c r="F43" s="1"/>
      <c r="G43" s="1"/>
      <c r="I43" s="1"/>
    </row>
    <row r="44" spans="5:9" ht="12.75" x14ac:dyDescent="0.2">
      <c r="E44" s="1"/>
      <c r="F44" s="1"/>
      <c r="G44" s="1"/>
      <c r="I44" s="1"/>
    </row>
    <row r="45" spans="5:9" ht="12.75" x14ac:dyDescent="0.2">
      <c r="E45" s="1"/>
      <c r="F45" s="1"/>
      <c r="G45" s="1"/>
      <c r="I45" s="1"/>
    </row>
    <row r="46" spans="5:9" ht="12.75" x14ac:dyDescent="0.2">
      <c r="E46" s="1"/>
      <c r="F46" s="1"/>
      <c r="G46" s="1"/>
      <c r="I46" s="1"/>
    </row>
    <row r="47" spans="5:9" ht="12.75" x14ac:dyDescent="0.2">
      <c r="E47" s="1"/>
      <c r="F47" s="1"/>
      <c r="G47" s="1"/>
      <c r="I47" s="1"/>
    </row>
    <row r="48" spans="5:9" ht="12.75" x14ac:dyDescent="0.2">
      <c r="E48" s="1"/>
      <c r="F48" s="1"/>
      <c r="G48" s="1"/>
      <c r="I48" s="1"/>
    </row>
    <row r="49" spans="5:9" ht="12.75" x14ac:dyDescent="0.2">
      <c r="E49" s="1"/>
      <c r="F49" s="1"/>
      <c r="G49" s="1"/>
      <c r="I49" s="1"/>
    </row>
    <row r="50" spans="5:9" ht="12.75" x14ac:dyDescent="0.2">
      <c r="E50" s="1"/>
      <c r="F50" s="1"/>
      <c r="G50" s="1"/>
      <c r="I50" s="1"/>
    </row>
    <row r="51" spans="5:9" ht="12.75" x14ac:dyDescent="0.2">
      <c r="E51" s="1"/>
      <c r="F51" s="1"/>
      <c r="G51" s="1"/>
      <c r="I51" s="1"/>
    </row>
    <row r="52" spans="5:9" ht="12.75" x14ac:dyDescent="0.2">
      <c r="E52" s="1"/>
      <c r="F52" s="1"/>
      <c r="G52" s="1"/>
      <c r="I52" s="1"/>
    </row>
    <row r="53" spans="5:9" ht="12.75" x14ac:dyDescent="0.2">
      <c r="E53" s="1"/>
      <c r="F53" s="1"/>
      <c r="G53" s="1"/>
      <c r="I53" s="1"/>
    </row>
    <row r="54" spans="5:9" ht="12.75" x14ac:dyDescent="0.2">
      <c r="E54" s="1"/>
      <c r="F54" s="1"/>
      <c r="G54" s="1"/>
      <c r="I54" s="1"/>
    </row>
    <row r="55" spans="5:9" ht="12.75" x14ac:dyDescent="0.2">
      <c r="E55" s="1"/>
      <c r="F55" s="1"/>
      <c r="G55" s="1"/>
      <c r="I55" s="1"/>
    </row>
    <row r="56" spans="5:9" ht="12.75" x14ac:dyDescent="0.2">
      <c r="E56" s="1"/>
      <c r="F56" s="1"/>
      <c r="G56" s="1"/>
      <c r="I56" s="1"/>
    </row>
    <row r="57" spans="5:9" ht="12.75" x14ac:dyDescent="0.2">
      <c r="E57" s="1"/>
      <c r="F57" s="1"/>
      <c r="G57" s="1"/>
      <c r="I57" s="1"/>
    </row>
    <row r="58" spans="5:9" ht="12.75" x14ac:dyDescent="0.2">
      <c r="E58" s="1"/>
      <c r="F58" s="1"/>
      <c r="G58" s="1"/>
      <c r="I58" s="1"/>
    </row>
    <row r="59" spans="5:9" ht="12.75" x14ac:dyDescent="0.2">
      <c r="E59" s="1"/>
      <c r="F59" s="1"/>
      <c r="G59" s="1"/>
      <c r="I59" s="1"/>
    </row>
    <row r="60" spans="5:9" ht="12.75" x14ac:dyDescent="0.2">
      <c r="E60" s="1"/>
      <c r="F60" s="1"/>
      <c r="G60" s="1"/>
      <c r="I60" s="1"/>
    </row>
    <row r="61" spans="5:9" ht="12.75" x14ac:dyDescent="0.2">
      <c r="E61" s="1"/>
      <c r="F61" s="1"/>
      <c r="G61" s="1"/>
      <c r="I61" s="1"/>
    </row>
    <row r="62" spans="5:9" ht="12.75" x14ac:dyDescent="0.2">
      <c r="E62" s="1"/>
      <c r="F62" s="1"/>
      <c r="G62" s="1"/>
      <c r="I62" s="1"/>
    </row>
    <row r="63" spans="5:9" ht="12.75" x14ac:dyDescent="0.2">
      <c r="E63" s="1"/>
      <c r="F63" s="1"/>
      <c r="G63" s="1"/>
      <c r="I63" s="1"/>
    </row>
    <row r="64" spans="5:9" ht="12.75" x14ac:dyDescent="0.2">
      <c r="E64" s="1"/>
      <c r="F64" s="1"/>
      <c r="G64" s="1"/>
      <c r="I64" s="1"/>
    </row>
    <row r="65" spans="5:9" ht="12.75" x14ac:dyDescent="0.2">
      <c r="E65" s="1"/>
      <c r="F65" s="1"/>
      <c r="G65" s="1"/>
      <c r="I65" s="1"/>
    </row>
    <row r="66" spans="5:9" ht="12.75" x14ac:dyDescent="0.2">
      <c r="E66" s="1"/>
      <c r="F66" s="1"/>
      <c r="G66" s="1"/>
      <c r="I66" s="1"/>
    </row>
    <row r="67" spans="5:9" ht="12.75" x14ac:dyDescent="0.2">
      <c r="E67" s="1"/>
      <c r="F67" s="1"/>
      <c r="G67" s="1"/>
      <c r="I67" s="1"/>
    </row>
    <row r="68" spans="5:9" ht="12.75" x14ac:dyDescent="0.2">
      <c r="E68" s="1"/>
      <c r="F68" s="1"/>
      <c r="G68" s="1"/>
      <c r="I68" s="1"/>
    </row>
    <row r="69" spans="5:9" ht="12.75" x14ac:dyDescent="0.2">
      <c r="E69" s="1"/>
      <c r="F69" s="1"/>
      <c r="G69" s="1"/>
      <c r="I69" s="1"/>
    </row>
    <row r="70" spans="5:9" ht="12.75" x14ac:dyDescent="0.2">
      <c r="E70" s="1"/>
      <c r="F70" s="1"/>
      <c r="G70" s="1"/>
      <c r="I70" s="1"/>
    </row>
    <row r="71" spans="5:9" ht="12.75" x14ac:dyDescent="0.2">
      <c r="E71" s="1"/>
      <c r="F71" s="1"/>
      <c r="G71" s="1"/>
      <c r="I71" s="1"/>
    </row>
    <row r="72" spans="5:9" ht="12.75" x14ac:dyDescent="0.2">
      <c r="E72" s="1"/>
      <c r="F72" s="1"/>
      <c r="G72" s="1"/>
      <c r="I72" s="1"/>
    </row>
    <row r="73" spans="5:9" ht="12.75" x14ac:dyDescent="0.2">
      <c r="E73" s="1"/>
      <c r="F73" s="1"/>
      <c r="G73" s="1"/>
      <c r="I73" s="1"/>
    </row>
    <row r="74" spans="5:9" ht="12.75" x14ac:dyDescent="0.2">
      <c r="E74" s="1"/>
      <c r="F74" s="1"/>
      <c r="G74" s="1"/>
      <c r="I74" s="1"/>
    </row>
    <row r="75" spans="5:9" ht="12.75" x14ac:dyDescent="0.2">
      <c r="E75" s="1"/>
      <c r="F75" s="1"/>
      <c r="G75" s="1"/>
      <c r="I75" s="1"/>
    </row>
    <row r="76" spans="5:9" ht="12.75" x14ac:dyDescent="0.2">
      <c r="E76" s="1"/>
      <c r="F76" s="1"/>
      <c r="G76" s="1"/>
      <c r="I76" s="1"/>
    </row>
    <row r="77" spans="5:9" ht="12.75" x14ac:dyDescent="0.2">
      <c r="E77" s="1"/>
      <c r="F77" s="1"/>
      <c r="G77" s="1"/>
      <c r="I77" s="1"/>
    </row>
    <row r="78" spans="5:9" ht="12.75" x14ac:dyDescent="0.2">
      <c r="E78" s="1"/>
      <c r="F78" s="1"/>
      <c r="G78" s="1"/>
      <c r="I78" s="1"/>
    </row>
    <row r="79" spans="5:9" ht="12.75" x14ac:dyDescent="0.2">
      <c r="E79" s="1"/>
      <c r="F79" s="1"/>
      <c r="G79" s="1"/>
      <c r="I79" s="1"/>
    </row>
    <row r="80" spans="5:9" ht="12.75" x14ac:dyDescent="0.2">
      <c r="E80" s="1"/>
      <c r="F80" s="1"/>
      <c r="G80" s="1"/>
      <c r="I80" s="1"/>
    </row>
    <row r="81" spans="5:9" ht="12.75" x14ac:dyDescent="0.2">
      <c r="E81" s="1"/>
      <c r="F81" s="1"/>
      <c r="G81" s="1"/>
      <c r="I81" s="1"/>
    </row>
    <row r="82" spans="5:9" ht="12.75" x14ac:dyDescent="0.2">
      <c r="E82" s="1"/>
      <c r="F82" s="1"/>
      <c r="G82" s="1"/>
      <c r="I82" s="1"/>
    </row>
    <row r="83" spans="5:9" ht="12.75" x14ac:dyDescent="0.2">
      <c r="E83" s="1"/>
      <c r="F83" s="1"/>
      <c r="G83" s="1"/>
      <c r="I83" s="1"/>
    </row>
    <row r="84" spans="5:9" ht="12.75" x14ac:dyDescent="0.2">
      <c r="E84" s="1"/>
      <c r="F84" s="1"/>
      <c r="G84" s="1"/>
      <c r="I84" s="1"/>
    </row>
    <row r="85" spans="5:9" ht="12.75" x14ac:dyDescent="0.2">
      <c r="E85" s="1"/>
      <c r="F85" s="1"/>
      <c r="G85" s="1"/>
      <c r="I85" s="1"/>
    </row>
    <row r="86" spans="5:9" ht="12.75" x14ac:dyDescent="0.2">
      <c r="E86" s="1"/>
      <c r="F86" s="1"/>
      <c r="G86" s="1"/>
      <c r="I86" s="1"/>
    </row>
    <row r="87" spans="5:9" ht="12.75" x14ac:dyDescent="0.2">
      <c r="E87" s="1"/>
      <c r="F87" s="1"/>
      <c r="G87" s="1"/>
      <c r="I87" s="1"/>
    </row>
    <row r="88" spans="5:9" ht="12.75" x14ac:dyDescent="0.2">
      <c r="E88" s="1"/>
      <c r="F88" s="1"/>
      <c r="G88" s="1"/>
      <c r="I88" s="1"/>
    </row>
    <row r="89" spans="5:9" ht="12.75" x14ac:dyDescent="0.2">
      <c r="E89" s="1"/>
      <c r="F89" s="1"/>
      <c r="G89" s="1"/>
      <c r="I89" s="1"/>
    </row>
    <row r="90" spans="5:9" ht="12.75" x14ac:dyDescent="0.2">
      <c r="E90" s="1"/>
      <c r="F90" s="1"/>
      <c r="G90" s="1"/>
      <c r="I90" s="1"/>
    </row>
    <row r="91" spans="5:9" ht="12.75" x14ac:dyDescent="0.2">
      <c r="E91" s="1"/>
      <c r="F91" s="1"/>
      <c r="G91" s="1"/>
      <c r="I91" s="1"/>
    </row>
    <row r="92" spans="5:9" ht="12.75" x14ac:dyDescent="0.2">
      <c r="E92" s="1"/>
      <c r="F92" s="1"/>
      <c r="G92" s="1"/>
      <c r="I92" s="1"/>
    </row>
    <row r="93" spans="5:9" ht="12.75" x14ac:dyDescent="0.2">
      <c r="E93" s="1"/>
      <c r="F93" s="1"/>
      <c r="G93" s="1"/>
      <c r="I93" s="1"/>
    </row>
    <row r="94" spans="5:9" ht="12.75" x14ac:dyDescent="0.2">
      <c r="E94" s="1"/>
      <c r="F94" s="1"/>
      <c r="G94" s="1"/>
      <c r="I94" s="1"/>
    </row>
    <row r="95" spans="5:9" ht="12.75" x14ac:dyDescent="0.2">
      <c r="E95" s="1"/>
      <c r="F95" s="1"/>
      <c r="G95" s="1"/>
      <c r="I95" s="1"/>
    </row>
    <row r="96" spans="5:9" ht="12.75" x14ac:dyDescent="0.2">
      <c r="E96" s="1"/>
      <c r="F96" s="1"/>
      <c r="G96" s="1"/>
      <c r="I96" s="1"/>
    </row>
    <row r="97" spans="5:9" ht="12.75" x14ac:dyDescent="0.2">
      <c r="E97" s="1"/>
      <c r="F97" s="1"/>
      <c r="G97" s="1"/>
      <c r="I97" s="1"/>
    </row>
    <row r="98" spans="5:9" ht="12.75" x14ac:dyDescent="0.2">
      <c r="E98" s="1"/>
      <c r="F98" s="1"/>
      <c r="G98" s="1"/>
      <c r="I98" s="1"/>
    </row>
    <row r="99" spans="5:9" ht="12.75" x14ac:dyDescent="0.2">
      <c r="E99" s="1"/>
      <c r="F99" s="1"/>
      <c r="G99" s="1"/>
      <c r="I99" s="1"/>
    </row>
    <row r="100" spans="5:9" ht="12.75" x14ac:dyDescent="0.2">
      <c r="E100" s="1"/>
      <c r="F100" s="1"/>
      <c r="G100" s="1"/>
      <c r="I100" s="1"/>
    </row>
    <row r="101" spans="5:9" ht="12.75" x14ac:dyDescent="0.2">
      <c r="E101" s="1"/>
      <c r="F101" s="1"/>
      <c r="G101" s="1"/>
      <c r="I101" s="1"/>
    </row>
    <row r="102" spans="5:9" ht="12.75" x14ac:dyDescent="0.2">
      <c r="E102" s="1"/>
      <c r="F102" s="1"/>
      <c r="G102" s="1"/>
      <c r="I102" s="1"/>
    </row>
    <row r="103" spans="5:9" ht="12.75" x14ac:dyDescent="0.2">
      <c r="E103" s="1"/>
      <c r="F103" s="1"/>
      <c r="G103" s="1"/>
      <c r="I103" s="1"/>
    </row>
    <row r="104" spans="5:9" ht="12.75" x14ac:dyDescent="0.2">
      <c r="E104" s="1"/>
      <c r="F104" s="1"/>
      <c r="G104" s="1"/>
      <c r="I104" s="1"/>
    </row>
    <row r="105" spans="5:9" ht="12.75" x14ac:dyDescent="0.2">
      <c r="E105" s="1"/>
      <c r="F105" s="1"/>
      <c r="G105" s="1"/>
      <c r="I105" s="1"/>
    </row>
    <row r="106" spans="5:9" ht="12.75" x14ac:dyDescent="0.2">
      <c r="E106" s="1"/>
      <c r="F106" s="1"/>
      <c r="G106" s="1"/>
      <c r="I106" s="1"/>
    </row>
    <row r="107" spans="5:9" ht="12.75" x14ac:dyDescent="0.2">
      <c r="E107" s="1"/>
      <c r="F107" s="1"/>
      <c r="G107" s="1"/>
      <c r="I107" s="1"/>
    </row>
    <row r="108" spans="5:9" ht="12.75" x14ac:dyDescent="0.2">
      <c r="E108" s="1"/>
      <c r="F108" s="1"/>
      <c r="G108" s="1"/>
      <c r="I108" s="1"/>
    </row>
    <row r="109" spans="5:9" ht="12.75" x14ac:dyDescent="0.2">
      <c r="E109" s="1"/>
      <c r="F109" s="1"/>
      <c r="G109" s="1"/>
      <c r="I109" s="1"/>
    </row>
    <row r="110" spans="5:9" ht="12.75" x14ac:dyDescent="0.2">
      <c r="E110" s="1"/>
      <c r="F110" s="1"/>
      <c r="G110" s="1"/>
      <c r="I110" s="1"/>
    </row>
    <row r="111" spans="5:9" ht="12.75" x14ac:dyDescent="0.2">
      <c r="E111" s="1"/>
      <c r="F111" s="1"/>
      <c r="G111" s="1"/>
      <c r="I111" s="1"/>
    </row>
    <row r="112" spans="5:9" ht="12.75" x14ac:dyDescent="0.2">
      <c r="E112" s="1"/>
      <c r="F112" s="1"/>
      <c r="G112" s="1"/>
      <c r="I112" s="1"/>
    </row>
    <row r="113" spans="5:9" ht="12.75" x14ac:dyDescent="0.2">
      <c r="E113" s="1"/>
      <c r="F113" s="1"/>
      <c r="G113" s="1"/>
      <c r="I113" s="1"/>
    </row>
    <row r="114" spans="5:9" ht="12.75" x14ac:dyDescent="0.2">
      <c r="E114" s="1"/>
      <c r="F114" s="1"/>
      <c r="G114" s="1"/>
      <c r="I114" s="1"/>
    </row>
    <row r="115" spans="5:9" ht="12.75" x14ac:dyDescent="0.2">
      <c r="E115" s="1"/>
      <c r="F115" s="1"/>
      <c r="G115" s="1"/>
      <c r="I115" s="1"/>
    </row>
    <row r="116" spans="5:9" ht="12.75" x14ac:dyDescent="0.2">
      <c r="E116" s="1"/>
      <c r="F116" s="1"/>
      <c r="G116" s="1"/>
      <c r="I116" s="1"/>
    </row>
    <row r="117" spans="5:9" ht="12.75" x14ac:dyDescent="0.2">
      <c r="E117" s="1"/>
      <c r="F117" s="1"/>
      <c r="G117" s="1"/>
      <c r="I117" s="1"/>
    </row>
    <row r="118" spans="5:9" ht="12.75" x14ac:dyDescent="0.2">
      <c r="E118" s="1"/>
      <c r="F118" s="1"/>
      <c r="G118" s="1"/>
      <c r="I118" s="1"/>
    </row>
    <row r="119" spans="5:9" ht="12.75" x14ac:dyDescent="0.2">
      <c r="E119" s="1"/>
      <c r="F119" s="1"/>
      <c r="G119" s="1"/>
      <c r="I119" s="1"/>
    </row>
    <row r="120" spans="5:9" ht="12.75" x14ac:dyDescent="0.2">
      <c r="E120" s="1"/>
      <c r="F120" s="1"/>
      <c r="G120" s="1"/>
      <c r="I120" s="1"/>
    </row>
    <row r="121" spans="5:9" ht="12.75" x14ac:dyDescent="0.2">
      <c r="E121" s="1"/>
      <c r="F121" s="1"/>
      <c r="G121" s="1"/>
      <c r="I121" s="1"/>
    </row>
    <row r="122" spans="5:9" ht="12.75" x14ac:dyDescent="0.2">
      <c r="E122" s="1"/>
      <c r="F122" s="1"/>
      <c r="G122" s="1"/>
      <c r="I122" s="1"/>
    </row>
    <row r="123" spans="5:9" ht="12.75" x14ac:dyDescent="0.2">
      <c r="E123" s="1"/>
      <c r="F123" s="1"/>
      <c r="G123" s="1"/>
      <c r="I123" s="1"/>
    </row>
    <row r="124" spans="5:9" ht="12.75" x14ac:dyDescent="0.2">
      <c r="E124" s="1"/>
      <c r="F124" s="1"/>
      <c r="G124" s="1"/>
      <c r="I124" s="1"/>
    </row>
    <row r="125" spans="5:9" ht="12.75" x14ac:dyDescent="0.2">
      <c r="E125" s="1"/>
      <c r="F125" s="1"/>
      <c r="G125" s="1"/>
      <c r="I125" s="1"/>
    </row>
    <row r="126" spans="5:9" ht="12.75" x14ac:dyDescent="0.2">
      <c r="E126" s="1"/>
      <c r="F126" s="1"/>
      <c r="G126" s="1"/>
      <c r="I126" s="1"/>
    </row>
    <row r="127" spans="5:9" ht="12.75" x14ac:dyDescent="0.2">
      <c r="E127" s="1"/>
      <c r="F127" s="1"/>
      <c r="G127" s="1"/>
      <c r="I127" s="1"/>
    </row>
    <row r="128" spans="5:9" ht="12.75" x14ac:dyDescent="0.2">
      <c r="E128" s="1"/>
      <c r="F128" s="1"/>
      <c r="G128" s="1"/>
      <c r="I128" s="1"/>
    </row>
    <row r="129" spans="5:9" ht="12.75" x14ac:dyDescent="0.2">
      <c r="E129" s="1"/>
      <c r="F129" s="1"/>
      <c r="G129" s="1"/>
      <c r="I129" s="1"/>
    </row>
    <row r="130" spans="5:9" ht="12.75" x14ac:dyDescent="0.2">
      <c r="E130" s="1"/>
      <c r="F130" s="1"/>
      <c r="G130" s="1"/>
      <c r="I130" s="1"/>
    </row>
    <row r="131" spans="5:9" ht="12.75" x14ac:dyDescent="0.2">
      <c r="E131" s="1"/>
      <c r="F131" s="1"/>
      <c r="G131" s="1"/>
      <c r="I131" s="1"/>
    </row>
    <row r="132" spans="5:9" ht="12.75" x14ac:dyDescent="0.2">
      <c r="E132" s="1"/>
      <c r="F132" s="1"/>
      <c r="G132" s="1"/>
      <c r="I132" s="1"/>
    </row>
    <row r="133" spans="5:9" ht="12.75" x14ac:dyDescent="0.2">
      <c r="E133" s="1"/>
      <c r="F133" s="1"/>
      <c r="G133" s="1"/>
      <c r="I133" s="1"/>
    </row>
    <row r="134" spans="5:9" ht="12.75" x14ac:dyDescent="0.2">
      <c r="E134" s="1"/>
      <c r="F134" s="1"/>
      <c r="G134" s="1"/>
      <c r="I134" s="1"/>
    </row>
    <row r="135" spans="5:9" ht="12.75" x14ac:dyDescent="0.2">
      <c r="E135" s="1"/>
      <c r="F135" s="1"/>
      <c r="G135" s="1"/>
      <c r="I135" s="1"/>
    </row>
    <row r="136" spans="5:9" ht="12.75" x14ac:dyDescent="0.2">
      <c r="E136" s="1"/>
      <c r="F136" s="1"/>
      <c r="G136" s="1"/>
      <c r="I136" s="1"/>
    </row>
    <row r="137" spans="5:9" ht="12.75" x14ac:dyDescent="0.2">
      <c r="E137" s="1"/>
      <c r="F137" s="1"/>
      <c r="G137" s="1"/>
      <c r="I137" s="1"/>
    </row>
    <row r="138" spans="5:9" ht="12.75" x14ac:dyDescent="0.2">
      <c r="E138" s="1"/>
      <c r="F138" s="1"/>
      <c r="G138" s="1"/>
      <c r="I138" s="1"/>
    </row>
    <row r="139" spans="5:9" ht="12.75" x14ac:dyDescent="0.2">
      <c r="E139" s="1"/>
      <c r="F139" s="1"/>
      <c r="G139" s="1"/>
      <c r="I139" s="1"/>
    </row>
    <row r="140" spans="5:9" ht="12.75" x14ac:dyDescent="0.2">
      <c r="E140" s="1"/>
      <c r="F140" s="1"/>
      <c r="G140" s="1"/>
      <c r="I140" s="1"/>
    </row>
    <row r="141" spans="5:9" ht="12.75" x14ac:dyDescent="0.2">
      <c r="E141" s="1"/>
      <c r="F141" s="1"/>
      <c r="G141" s="1"/>
      <c r="I141" s="1"/>
    </row>
    <row r="142" spans="5:9" ht="12.75" x14ac:dyDescent="0.2">
      <c r="E142" s="1"/>
      <c r="F142" s="1"/>
      <c r="G142" s="1"/>
      <c r="I142" s="1"/>
    </row>
    <row r="143" spans="5:9" ht="12.75" x14ac:dyDescent="0.2">
      <c r="E143" s="1"/>
      <c r="F143" s="1"/>
      <c r="G143" s="1"/>
      <c r="I143" s="1"/>
    </row>
    <row r="144" spans="5:9" ht="12.75" x14ac:dyDescent="0.2">
      <c r="E144" s="1"/>
      <c r="F144" s="1"/>
      <c r="G144" s="1"/>
      <c r="I144" s="1"/>
    </row>
    <row r="145" spans="5:9" ht="12.75" x14ac:dyDescent="0.2">
      <c r="E145" s="1"/>
      <c r="F145" s="1"/>
      <c r="G145" s="1"/>
      <c r="I145" s="1"/>
    </row>
    <row r="146" spans="5:9" ht="12.75" x14ac:dyDescent="0.2">
      <c r="E146" s="1"/>
      <c r="F146" s="1"/>
      <c r="G146" s="1"/>
      <c r="I146" s="1"/>
    </row>
    <row r="147" spans="5:9" ht="12.75" x14ac:dyDescent="0.2">
      <c r="E147" s="1"/>
      <c r="F147" s="1"/>
      <c r="G147" s="1"/>
      <c r="I147" s="1"/>
    </row>
    <row r="148" spans="5:9" ht="12.75" x14ac:dyDescent="0.2">
      <c r="E148" s="1"/>
      <c r="F148" s="1"/>
      <c r="G148" s="1"/>
      <c r="I148" s="1"/>
    </row>
    <row r="149" spans="5:9" ht="12.75" x14ac:dyDescent="0.2">
      <c r="E149" s="1"/>
      <c r="F149" s="1"/>
      <c r="G149" s="1"/>
      <c r="I149" s="1"/>
    </row>
    <row r="150" spans="5:9" ht="12.75" x14ac:dyDescent="0.2">
      <c r="E150" s="1"/>
      <c r="F150" s="1"/>
      <c r="G150" s="1"/>
      <c r="I150" s="1"/>
    </row>
    <row r="151" spans="5:9" ht="12.75" x14ac:dyDescent="0.2">
      <c r="E151" s="1"/>
      <c r="F151" s="1"/>
      <c r="G151" s="1"/>
      <c r="I151" s="1"/>
    </row>
    <row r="152" spans="5:9" ht="12.75" x14ac:dyDescent="0.2">
      <c r="E152" s="1"/>
      <c r="F152" s="1"/>
      <c r="G152" s="1"/>
      <c r="I152" s="1"/>
    </row>
    <row r="153" spans="5:9" ht="12.75" x14ac:dyDescent="0.2">
      <c r="E153" s="1"/>
      <c r="F153" s="1"/>
      <c r="G153" s="1"/>
      <c r="I153" s="1"/>
    </row>
    <row r="154" spans="5:9" ht="12.75" x14ac:dyDescent="0.2">
      <c r="E154" s="1"/>
      <c r="F154" s="1"/>
      <c r="G154" s="1"/>
      <c r="I154" s="1"/>
    </row>
    <row r="155" spans="5:9" ht="12.75" x14ac:dyDescent="0.2">
      <c r="E155" s="1"/>
      <c r="F155" s="1"/>
      <c r="G155" s="1"/>
      <c r="I155" s="1"/>
    </row>
    <row r="156" spans="5:9" ht="12.75" x14ac:dyDescent="0.2">
      <c r="E156" s="1"/>
      <c r="F156" s="1"/>
      <c r="G156" s="1"/>
      <c r="I156" s="1"/>
    </row>
    <row r="157" spans="5:9" ht="12.75" x14ac:dyDescent="0.2">
      <c r="E157" s="1"/>
      <c r="F157" s="1"/>
      <c r="G157" s="1"/>
      <c r="I157" s="1"/>
    </row>
    <row r="158" spans="5:9" ht="12.75" x14ac:dyDescent="0.2">
      <c r="E158" s="1"/>
      <c r="F158" s="1"/>
      <c r="G158" s="1"/>
      <c r="I158" s="1"/>
    </row>
    <row r="159" spans="5:9" ht="12.75" x14ac:dyDescent="0.2">
      <c r="E159" s="1"/>
      <c r="F159" s="1"/>
      <c r="G159" s="1"/>
      <c r="I159" s="1"/>
    </row>
    <row r="160" spans="5:9" ht="12.75" x14ac:dyDescent="0.2">
      <c r="E160" s="1"/>
      <c r="F160" s="1"/>
      <c r="G160" s="1"/>
      <c r="I160" s="1"/>
    </row>
    <row r="161" spans="5:9" ht="12.75" x14ac:dyDescent="0.2">
      <c r="E161" s="1"/>
      <c r="F161" s="1"/>
      <c r="G161" s="1"/>
      <c r="I161" s="1"/>
    </row>
    <row r="162" spans="5:9" ht="12.75" x14ac:dyDescent="0.2">
      <c r="E162" s="1"/>
      <c r="F162" s="1"/>
      <c r="G162" s="1"/>
      <c r="I162" s="1"/>
    </row>
    <row r="163" spans="5:9" ht="12.75" x14ac:dyDescent="0.2">
      <c r="E163" s="1"/>
      <c r="F163" s="1"/>
      <c r="G163" s="1"/>
      <c r="I163" s="1"/>
    </row>
    <row r="164" spans="5:9" ht="12.75" x14ac:dyDescent="0.2">
      <c r="E164" s="1"/>
      <c r="F164" s="1"/>
      <c r="G164" s="1"/>
      <c r="I164" s="1"/>
    </row>
    <row r="165" spans="5:9" ht="12.75" x14ac:dyDescent="0.2">
      <c r="E165" s="1"/>
      <c r="F165" s="1"/>
      <c r="G165" s="1"/>
      <c r="I165" s="1"/>
    </row>
    <row r="166" spans="5:9" ht="12.75" x14ac:dyDescent="0.2">
      <c r="E166" s="1"/>
      <c r="F166" s="1"/>
      <c r="G166" s="1"/>
      <c r="I166" s="1"/>
    </row>
    <row r="167" spans="5:9" ht="12.75" x14ac:dyDescent="0.2">
      <c r="E167" s="1"/>
      <c r="F167" s="1"/>
      <c r="G167" s="1"/>
      <c r="I167" s="1"/>
    </row>
    <row r="168" spans="5:9" ht="12.75" x14ac:dyDescent="0.2">
      <c r="E168" s="1"/>
      <c r="F168" s="1"/>
      <c r="G168" s="1"/>
      <c r="I168" s="1"/>
    </row>
    <row r="169" spans="5:9" ht="12.75" x14ac:dyDescent="0.2">
      <c r="E169" s="1"/>
      <c r="F169" s="1"/>
      <c r="G169" s="1"/>
      <c r="I169" s="1"/>
    </row>
    <row r="170" spans="5:9" ht="12.75" x14ac:dyDescent="0.2">
      <c r="E170" s="1"/>
      <c r="F170" s="1"/>
      <c r="G170" s="1"/>
      <c r="I170" s="1"/>
    </row>
    <row r="171" spans="5:9" ht="12.75" x14ac:dyDescent="0.2">
      <c r="E171" s="1"/>
      <c r="F171" s="1"/>
      <c r="G171" s="1"/>
      <c r="I171" s="1"/>
    </row>
    <row r="172" spans="5:9" ht="12.75" x14ac:dyDescent="0.2">
      <c r="E172" s="1"/>
      <c r="F172" s="1"/>
      <c r="G172" s="1"/>
      <c r="I172" s="1"/>
    </row>
    <row r="173" spans="5:9" ht="12.75" x14ac:dyDescent="0.2">
      <c r="E173" s="1"/>
      <c r="F173" s="1"/>
      <c r="G173" s="1"/>
      <c r="I173" s="1"/>
    </row>
    <row r="174" spans="5:9" ht="12.75" x14ac:dyDescent="0.2">
      <c r="E174" s="1"/>
      <c r="F174" s="1"/>
      <c r="G174" s="1"/>
      <c r="I174" s="1"/>
    </row>
    <row r="175" spans="5:9" ht="12.75" x14ac:dyDescent="0.2">
      <c r="E175" s="1"/>
      <c r="F175" s="1"/>
      <c r="G175" s="1"/>
      <c r="I175" s="1"/>
    </row>
    <row r="176" spans="5:9" ht="12.75" x14ac:dyDescent="0.2">
      <c r="E176" s="1"/>
      <c r="F176" s="1"/>
      <c r="G176" s="1"/>
      <c r="I176" s="1"/>
    </row>
    <row r="177" spans="5:9" ht="12.75" x14ac:dyDescent="0.2">
      <c r="E177" s="1"/>
      <c r="F177" s="1"/>
      <c r="G177" s="1"/>
      <c r="I177" s="1"/>
    </row>
    <row r="178" spans="5:9" ht="12.75" x14ac:dyDescent="0.2">
      <c r="E178" s="1"/>
      <c r="F178" s="1"/>
      <c r="G178" s="1"/>
      <c r="I178" s="1"/>
    </row>
    <row r="179" spans="5:9" ht="12.75" x14ac:dyDescent="0.2">
      <c r="E179" s="1"/>
      <c r="F179" s="1"/>
      <c r="G179" s="1"/>
      <c r="I179" s="1"/>
    </row>
    <row r="180" spans="5:9" ht="12.75" x14ac:dyDescent="0.2">
      <c r="E180" s="1"/>
      <c r="F180" s="1"/>
      <c r="G180" s="1"/>
      <c r="I180" s="1"/>
    </row>
    <row r="181" spans="5:9" ht="12.75" x14ac:dyDescent="0.2">
      <c r="E181" s="1"/>
      <c r="F181" s="1"/>
      <c r="G181" s="1"/>
      <c r="I181" s="1"/>
    </row>
    <row r="182" spans="5:9" ht="12.75" x14ac:dyDescent="0.2">
      <c r="E182" s="1"/>
      <c r="F182" s="1"/>
      <c r="G182" s="1"/>
      <c r="I182" s="1"/>
    </row>
    <row r="183" spans="5:9" ht="12.75" x14ac:dyDescent="0.2">
      <c r="E183" s="1"/>
      <c r="F183" s="1"/>
      <c r="G183" s="1"/>
      <c r="I183" s="1"/>
    </row>
    <row r="184" spans="5:9" ht="12.75" x14ac:dyDescent="0.2">
      <c r="E184" s="1"/>
      <c r="F184" s="1"/>
      <c r="G184" s="1"/>
      <c r="I184" s="1"/>
    </row>
    <row r="185" spans="5:9" ht="12.75" x14ac:dyDescent="0.2">
      <c r="E185" s="1"/>
      <c r="F185" s="1"/>
      <c r="G185" s="1"/>
      <c r="I185" s="1"/>
    </row>
    <row r="186" spans="5:9" ht="12.75" x14ac:dyDescent="0.2">
      <c r="E186" s="1"/>
      <c r="F186" s="1"/>
      <c r="G186" s="1"/>
      <c r="I186" s="1"/>
    </row>
    <row r="187" spans="5:9" ht="12.75" x14ac:dyDescent="0.2">
      <c r="E187" s="1"/>
      <c r="F187" s="1"/>
      <c r="G187" s="1"/>
      <c r="I187" s="1"/>
    </row>
    <row r="188" spans="5:9" ht="12.75" x14ac:dyDescent="0.2">
      <c r="E188" s="1"/>
      <c r="F188" s="1"/>
      <c r="G188" s="1"/>
      <c r="I188" s="1"/>
    </row>
    <row r="189" spans="5:9" ht="12.75" x14ac:dyDescent="0.2">
      <c r="E189" s="1"/>
      <c r="F189" s="1"/>
      <c r="G189" s="1"/>
      <c r="I189" s="1"/>
    </row>
    <row r="190" spans="5:9" ht="12.75" x14ac:dyDescent="0.2">
      <c r="E190" s="1"/>
      <c r="F190" s="1"/>
      <c r="G190" s="1"/>
      <c r="I190" s="1"/>
    </row>
    <row r="191" spans="5:9" ht="12.75" x14ac:dyDescent="0.2">
      <c r="E191" s="1"/>
      <c r="F191" s="1"/>
      <c r="G191" s="1"/>
      <c r="I191" s="1"/>
    </row>
    <row r="192" spans="5:9" ht="12.75" x14ac:dyDescent="0.2">
      <c r="E192" s="1"/>
      <c r="F192" s="1"/>
      <c r="G192" s="1"/>
      <c r="I192" s="1"/>
    </row>
    <row r="193" spans="5:9" ht="12.75" x14ac:dyDescent="0.2">
      <c r="E193" s="1"/>
      <c r="F193" s="1"/>
      <c r="G193" s="1"/>
      <c r="I193" s="1"/>
    </row>
    <row r="194" spans="5:9" ht="12.75" x14ac:dyDescent="0.2">
      <c r="E194" s="1"/>
      <c r="F194" s="1"/>
      <c r="G194" s="1"/>
      <c r="I194" s="1"/>
    </row>
    <row r="195" spans="5:9" ht="12.75" x14ac:dyDescent="0.2">
      <c r="E195" s="1"/>
      <c r="F195" s="1"/>
      <c r="G195" s="1"/>
      <c r="I195" s="1"/>
    </row>
    <row r="196" spans="5:9" ht="12.75" x14ac:dyDescent="0.2">
      <c r="E196" s="1"/>
      <c r="F196" s="1"/>
      <c r="G196" s="1"/>
      <c r="I196" s="1"/>
    </row>
    <row r="197" spans="5:9" ht="12.75" x14ac:dyDescent="0.2">
      <c r="E197" s="1"/>
      <c r="F197" s="1"/>
      <c r="G197" s="1"/>
      <c r="I197" s="1"/>
    </row>
    <row r="198" spans="5:9" ht="12.75" x14ac:dyDescent="0.2">
      <c r="E198" s="1"/>
      <c r="F198" s="1"/>
      <c r="G198" s="1"/>
      <c r="I198" s="1"/>
    </row>
    <row r="199" spans="5:9" ht="12.75" x14ac:dyDescent="0.2">
      <c r="E199" s="1"/>
      <c r="F199" s="1"/>
      <c r="G199" s="1"/>
      <c r="I199" s="1"/>
    </row>
    <row r="200" spans="5:9" ht="12.75" x14ac:dyDescent="0.2">
      <c r="E200" s="1"/>
      <c r="F200" s="1"/>
      <c r="G200" s="1"/>
      <c r="I200" s="1"/>
    </row>
    <row r="201" spans="5:9" ht="12.75" x14ac:dyDescent="0.2">
      <c r="E201" s="1"/>
      <c r="F201" s="1"/>
      <c r="G201" s="1"/>
      <c r="I201" s="1"/>
    </row>
    <row r="202" spans="5:9" ht="12.75" x14ac:dyDescent="0.2">
      <c r="E202" s="1"/>
      <c r="F202" s="1"/>
      <c r="G202" s="1"/>
      <c r="I202" s="1"/>
    </row>
    <row r="203" spans="5:9" ht="12.75" x14ac:dyDescent="0.2">
      <c r="E203" s="1"/>
      <c r="F203" s="1"/>
      <c r="G203" s="1"/>
      <c r="I203" s="1"/>
    </row>
    <row r="204" spans="5:9" ht="12.75" x14ac:dyDescent="0.2">
      <c r="E204" s="1"/>
      <c r="F204" s="1"/>
      <c r="G204" s="1"/>
      <c r="I204" s="1"/>
    </row>
    <row r="205" spans="5:9" ht="12.75" x14ac:dyDescent="0.2">
      <c r="E205" s="1"/>
      <c r="F205" s="1"/>
      <c r="G205" s="1"/>
      <c r="I205" s="1"/>
    </row>
    <row r="206" spans="5:9" ht="12.75" x14ac:dyDescent="0.2">
      <c r="E206" s="1"/>
      <c r="F206" s="1"/>
      <c r="G206" s="1"/>
      <c r="I206" s="1"/>
    </row>
    <row r="207" spans="5:9" ht="12.75" x14ac:dyDescent="0.2">
      <c r="E207" s="1"/>
      <c r="F207" s="1"/>
      <c r="G207" s="1"/>
      <c r="I207" s="1"/>
    </row>
    <row r="208" spans="5:9" ht="12.75" x14ac:dyDescent="0.2">
      <c r="E208" s="1"/>
      <c r="F208" s="1"/>
      <c r="G208" s="1"/>
      <c r="I208" s="1"/>
    </row>
    <row r="209" spans="5:9" ht="12.75" x14ac:dyDescent="0.2">
      <c r="E209" s="1"/>
      <c r="F209" s="1"/>
      <c r="G209" s="1"/>
      <c r="I209" s="1"/>
    </row>
    <row r="210" spans="5:9" ht="12.75" x14ac:dyDescent="0.2">
      <c r="E210" s="1"/>
      <c r="F210" s="1"/>
      <c r="G210" s="1"/>
      <c r="I210" s="1"/>
    </row>
    <row r="211" spans="5:9" ht="12.75" x14ac:dyDescent="0.2">
      <c r="E211" s="1"/>
      <c r="F211" s="1"/>
      <c r="G211" s="1"/>
      <c r="I211" s="1"/>
    </row>
    <row r="212" spans="5:9" ht="12.75" x14ac:dyDescent="0.2">
      <c r="E212" s="1"/>
      <c r="F212" s="1"/>
      <c r="G212" s="1"/>
      <c r="I212" s="1"/>
    </row>
    <row r="213" spans="5:9" ht="12.75" x14ac:dyDescent="0.2">
      <c r="E213" s="1"/>
      <c r="F213" s="1"/>
      <c r="G213" s="1"/>
      <c r="I213" s="1"/>
    </row>
    <row r="214" spans="5:9" ht="12.75" x14ac:dyDescent="0.2">
      <c r="E214" s="1"/>
      <c r="F214" s="1"/>
      <c r="G214" s="1"/>
      <c r="I214" s="1"/>
    </row>
    <row r="215" spans="5:9" ht="12.75" x14ac:dyDescent="0.2">
      <c r="E215" s="1"/>
      <c r="F215" s="1"/>
      <c r="G215" s="1"/>
      <c r="I215" s="1"/>
    </row>
    <row r="216" spans="5:9" ht="12.75" x14ac:dyDescent="0.2">
      <c r="E216" s="1"/>
      <c r="F216" s="1"/>
      <c r="G216" s="1"/>
      <c r="I216" s="1"/>
    </row>
    <row r="217" spans="5:9" ht="12.75" x14ac:dyDescent="0.2">
      <c r="E217" s="1"/>
      <c r="F217" s="1"/>
      <c r="G217" s="1"/>
      <c r="I217" s="1"/>
    </row>
    <row r="218" spans="5:9" ht="12.75" x14ac:dyDescent="0.2">
      <c r="E218" s="1"/>
      <c r="F218" s="1"/>
      <c r="G218" s="1"/>
      <c r="I218" s="1"/>
    </row>
    <row r="219" spans="5:9" ht="12.75" x14ac:dyDescent="0.2">
      <c r="E219" s="1"/>
      <c r="F219" s="1"/>
      <c r="G219" s="1"/>
      <c r="I219" s="1"/>
    </row>
    <row r="220" spans="5:9" ht="12.75" x14ac:dyDescent="0.2">
      <c r="E220" s="1"/>
      <c r="F220" s="1"/>
      <c r="G220" s="1"/>
      <c r="I220" s="1"/>
    </row>
    <row r="221" spans="5:9" ht="12.75" x14ac:dyDescent="0.2">
      <c r="E221" s="1"/>
      <c r="F221" s="1"/>
      <c r="G221" s="1"/>
      <c r="I221" s="1"/>
    </row>
    <row r="222" spans="5:9" ht="12.75" x14ac:dyDescent="0.2">
      <c r="E222" s="1"/>
      <c r="F222" s="1"/>
      <c r="G222" s="1"/>
      <c r="I222" s="1"/>
    </row>
    <row r="223" spans="5:9" ht="12.75" x14ac:dyDescent="0.2">
      <c r="E223" s="1"/>
      <c r="F223" s="1"/>
      <c r="G223" s="1"/>
      <c r="I223" s="1"/>
    </row>
    <row r="224" spans="5:9" ht="12.75" x14ac:dyDescent="0.2">
      <c r="E224" s="1"/>
      <c r="F224" s="1"/>
      <c r="G224" s="1"/>
      <c r="I224" s="1"/>
    </row>
    <row r="225" spans="5:9" ht="12.75" x14ac:dyDescent="0.2">
      <c r="E225" s="1"/>
      <c r="F225" s="1"/>
      <c r="G225" s="1"/>
      <c r="I225" s="1"/>
    </row>
    <row r="226" spans="5:9" ht="12.75" x14ac:dyDescent="0.2">
      <c r="E226" s="1"/>
      <c r="F226" s="1"/>
      <c r="G226" s="1"/>
      <c r="I226" s="1"/>
    </row>
    <row r="227" spans="5:9" ht="12.75" x14ac:dyDescent="0.2">
      <c r="E227" s="1"/>
      <c r="F227" s="1"/>
      <c r="G227" s="1"/>
      <c r="I227" s="1"/>
    </row>
    <row r="228" spans="5:9" ht="12.75" x14ac:dyDescent="0.2">
      <c r="E228" s="1"/>
      <c r="F228" s="1"/>
      <c r="G228" s="1"/>
      <c r="I228" s="1"/>
    </row>
    <row r="229" spans="5:9" ht="12.75" x14ac:dyDescent="0.2">
      <c r="E229" s="1"/>
      <c r="F229" s="1"/>
      <c r="G229" s="1"/>
      <c r="I229" s="1"/>
    </row>
    <row r="230" spans="5:9" ht="12.75" x14ac:dyDescent="0.2">
      <c r="E230" s="1"/>
      <c r="F230" s="1"/>
      <c r="G230" s="1"/>
      <c r="I230" s="1"/>
    </row>
    <row r="231" spans="5:9" ht="12.75" x14ac:dyDescent="0.2">
      <c r="E231" s="1"/>
      <c r="F231" s="1"/>
      <c r="G231" s="1"/>
      <c r="I231" s="1"/>
    </row>
    <row r="232" spans="5:9" ht="12.75" x14ac:dyDescent="0.2">
      <c r="E232" s="1"/>
      <c r="F232" s="1"/>
      <c r="G232" s="1"/>
      <c r="I232" s="1"/>
    </row>
    <row r="233" spans="5:9" ht="12.75" x14ac:dyDescent="0.2">
      <c r="E233" s="1"/>
      <c r="F233" s="1"/>
      <c r="G233" s="1"/>
      <c r="I233" s="1"/>
    </row>
    <row r="234" spans="5:9" ht="12.75" x14ac:dyDescent="0.2">
      <c r="E234" s="1"/>
      <c r="F234" s="1"/>
      <c r="G234" s="1"/>
      <c r="I234" s="1"/>
    </row>
    <row r="235" spans="5:9" ht="12.75" x14ac:dyDescent="0.2">
      <c r="E235" s="1"/>
      <c r="F235" s="1"/>
      <c r="G235" s="1"/>
      <c r="I235" s="1"/>
    </row>
    <row r="236" spans="5:9" ht="12.75" x14ac:dyDescent="0.2">
      <c r="E236" s="1"/>
      <c r="F236" s="1"/>
      <c r="G236" s="1"/>
      <c r="I236" s="1"/>
    </row>
    <row r="237" spans="5:9" ht="12.75" x14ac:dyDescent="0.2">
      <c r="E237" s="1"/>
      <c r="F237" s="1"/>
      <c r="G237" s="1"/>
      <c r="I237" s="1"/>
    </row>
    <row r="238" spans="5:9" ht="12.75" x14ac:dyDescent="0.2">
      <c r="E238" s="1"/>
      <c r="F238" s="1"/>
      <c r="G238" s="1"/>
      <c r="I238" s="1"/>
    </row>
    <row r="239" spans="5:9" ht="12.75" x14ac:dyDescent="0.2">
      <c r="E239" s="1"/>
      <c r="F239" s="1"/>
      <c r="G239" s="1"/>
      <c r="I239" s="1"/>
    </row>
    <row r="240" spans="5:9" ht="12.75" x14ac:dyDescent="0.2">
      <c r="E240" s="1"/>
      <c r="F240" s="1"/>
      <c r="G240" s="1"/>
      <c r="I240" s="1"/>
    </row>
    <row r="241" spans="5:9" ht="12.75" x14ac:dyDescent="0.2">
      <c r="E241" s="1"/>
      <c r="F241" s="1"/>
      <c r="G241" s="1"/>
      <c r="I241" s="1"/>
    </row>
    <row r="242" spans="5:9" ht="12.75" x14ac:dyDescent="0.2">
      <c r="E242" s="1"/>
      <c r="F242" s="1"/>
      <c r="G242" s="1"/>
      <c r="I242" s="1"/>
    </row>
    <row r="243" spans="5:9" ht="12.75" x14ac:dyDescent="0.2">
      <c r="E243" s="1"/>
      <c r="F243" s="1"/>
      <c r="G243" s="1"/>
      <c r="I243" s="1"/>
    </row>
    <row r="244" spans="5:9" ht="12.75" x14ac:dyDescent="0.2">
      <c r="E244" s="1"/>
      <c r="F244" s="1"/>
      <c r="G244" s="1"/>
      <c r="I244" s="1"/>
    </row>
    <row r="245" spans="5:9" ht="12.75" x14ac:dyDescent="0.2">
      <c r="E245" s="1"/>
      <c r="F245" s="1"/>
      <c r="G245" s="1"/>
      <c r="I245" s="1"/>
    </row>
    <row r="246" spans="5:9" ht="12.75" x14ac:dyDescent="0.2">
      <c r="E246" s="1"/>
      <c r="F246" s="1"/>
      <c r="G246" s="1"/>
      <c r="I246" s="1"/>
    </row>
    <row r="247" spans="5:9" ht="12.75" x14ac:dyDescent="0.2">
      <c r="E247" s="1"/>
      <c r="F247" s="1"/>
      <c r="G247" s="1"/>
      <c r="I247" s="1"/>
    </row>
    <row r="248" spans="5:9" ht="12.75" x14ac:dyDescent="0.2">
      <c r="E248" s="1"/>
      <c r="F248" s="1"/>
      <c r="G248" s="1"/>
      <c r="I248" s="1"/>
    </row>
    <row r="249" spans="5:9" ht="12.75" x14ac:dyDescent="0.2">
      <c r="E249" s="1"/>
      <c r="F249" s="1"/>
      <c r="G249" s="1"/>
      <c r="I249" s="1"/>
    </row>
    <row r="250" spans="5:9" ht="12.75" x14ac:dyDescent="0.2">
      <c r="E250" s="1"/>
      <c r="F250" s="1"/>
      <c r="G250" s="1"/>
      <c r="I250" s="1"/>
    </row>
    <row r="251" spans="5:9" ht="12.75" x14ac:dyDescent="0.2">
      <c r="E251" s="1"/>
      <c r="F251" s="1"/>
      <c r="G251" s="1"/>
      <c r="I251" s="1"/>
    </row>
    <row r="252" spans="5:9" ht="12.75" x14ac:dyDescent="0.2">
      <c r="E252" s="1"/>
      <c r="F252" s="1"/>
      <c r="G252" s="1"/>
      <c r="I252" s="1"/>
    </row>
    <row r="253" spans="5:9" ht="12.75" x14ac:dyDescent="0.2">
      <c r="E253" s="1"/>
      <c r="F253" s="1"/>
      <c r="G253" s="1"/>
      <c r="I253" s="1"/>
    </row>
    <row r="254" spans="5:9" ht="12.75" x14ac:dyDescent="0.2">
      <c r="E254" s="1"/>
      <c r="F254" s="1"/>
      <c r="G254" s="1"/>
      <c r="I254" s="1"/>
    </row>
    <row r="255" spans="5:9" ht="12.75" x14ac:dyDescent="0.2">
      <c r="E255" s="1"/>
      <c r="F255" s="1"/>
      <c r="G255" s="1"/>
      <c r="I255" s="1"/>
    </row>
    <row r="256" spans="5:9" ht="12.75" x14ac:dyDescent="0.2">
      <c r="E256" s="1"/>
      <c r="F256" s="1"/>
      <c r="G256" s="1"/>
      <c r="I256" s="1"/>
    </row>
    <row r="257" spans="5:9" ht="12.75" x14ac:dyDescent="0.2">
      <c r="E257" s="1"/>
      <c r="F257" s="1"/>
      <c r="G257" s="1"/>
      <c r="I257" s="1"/>
    </row>
    <row r="258" spans="5:9" ht="12.75" x14ac:dyDescent="0.2">
      <c r="E258" s="1"/>
      <c r="F258" s="1"/>
      <c r="G258" s="1"/>
      <c r="I258" s="1"/>
    </row>
    <row r="259" spans="5:9" ht="12.75" x14ac:dyDescent="0.2">
      <c r="E259" s="1"/>
      <c r="F259" s="1"/>
      <c r="G259" s="1"/>
      <c r="I259" s="1"/>
    </row>
    <row r="260" spans="5:9" ht="12.75" x14ac:dyDescent="0.2">
      <c r="E260" s="1"/>
      <c r="F260" s="1"/>
      <c r="G260" s="1"/>
      <c r="I260" s="1"/>
    </row>
    <row r="261" spans="5:9" ht="12.75" x14ac:dyDescent="0.2">
      <c r="E261" s="1"/>
      <c r="F261" s="1"/>
      <c r="G261" s="1"/>
      <c r="I261" s="1"/>
    </row>
    <row r="262" spans="5:9" ht="12.75" x14ac:dyDescent="0.2">
      <c r="E262" s="1"/>
      <c r="F262" s="1"/>
      <c r="G262" s="1"/>
      <c r="I262" s="1"/>
    </row>
    <row r="263" spans="5:9" ht="12.75" x14ac:dyDescent="0.2">
      <c r="E263" s="1"/>
      <c r="F263" s="1"/>
      <c r="G263" s="1"/>
      <c r="I263" s="1"/>
    </row>
    <row r="264" spans="5:9" ht="12.75" x14ac:dyDescent="0.2">
      <c r="E264" s="1"/>
      <c r="F264" s="1"/>
      <c r="G264" s="1"/>
      <c r="I264" s="1"/>
    </row>
    <row r="265" spans="5:9" ht="12.75" x14ac:dyDescent="0.2">
      <c r="E265" s="1"/>
      <c r="F265" s="1"/>
      <c r="G265" s="1"/>
      <c r="I265" s="1"/>
    </row>
    <row r="266" spans="5:9" ht="12.75" x14ac:dyDescent="0.2">
      <c r="E266" s="1"/>
      <c r="F266" s="1"/>
      <c r="G266" s="1"/>
      <c r="I266" s="1"/>
    </row>
    <row r="267" spans="5:9" ht="12.75" x14ac:dyDescent="0.2">
      <c r="E267" s="1"/>
      <c r="F267" s="1"/>
      <c r="G267" s="1"/>
      <c r="I267" s="1"/>
    </row>
    <row r="268" spans="5:9" ht="12.75" x14ac:dyDescent="0.2">
      <c r="E268" s="1"/>
      <c r="F268" s="1"/>
      <c r="G268" s="1"/>
      <c r="I268" s="1"/>
    </row>
    <row r="269" spans="5:9" ht="12.75" x14ac:dyDescent="0.2">
      <c r="E269" s="1"/>
      <c r="F269" s="1"/>
      <c r="G269" s="1"/>
      <c r="I269" s="1"/>
    </row>
    <row r="270" spans="5:9" ht="12.75" x14ac:dyDescent="0.2">
      <c r="E270" s="1"/>
      <c r="F270" s="1"/>
      <c r="G270" s="1"/>
      <c r="I270" s="1"/>
    </row>
    <row r="271" spans="5:9" ht="12.75" x14ac:dyDescent="0.2">
      <c r="E271" s="1"/>
      <c r="F271" s="1"/>
      <c r="G271" s="1"/>
      <c r="I271" s="1"/>
    </row>
    <row r="272" spans="5:9" ht="12.75" x14ac:dyDescent="0.2">
      <c r="E272" s="1"/>
      <c r="F272" s="1"/>
      <c r="G272" s="1"/>
      <c r="I272" s="1"/>
    </row>
    <row r="273" spans="5:9" ht="12.75" x14ac:dyDescent="0.2">
      <c r="E273" s="1"/>
      <c r="F273" s="1"/>
      <c r="G273" s="1"/>
      <c r="I273" s="1"/>
    </row>
    <row r="274" spans="5:9" ht="12.75" x14ac:dyDescent="0.2">
      <c r="E274" s="1"/>
      <c r="F274" s="1"/>
      <c r="G274" s="1"/>
      <c r="I274" s="1"/>
    </row>
    <row r="275" spans="5:9" ht="12.75" x14ac:dyDescent="0.2">
      <c r="E275" s="1"/>
      <c r="F275" s="1"/>
      <c r="G275" s="1"/>
      <c r="I275" s="1"/>
    </row>
    <row r="276" spans="5:9" ht="12.75" x14ac:dyDescent="0.2">
      <c r="E276" s="1"/>
      <c r="F276" s="1"/>
      <c r="G276" s="1"/>
      <c r="I276" s="1"/>
    </row>
    <row r="277" spans="5:9" ht="12.75" x14ac:dyDescent="0.2">
      <c r="E277" s="1"/>
      <c r="F277" s="1"/>
      <c r="G277" s="1"/>
      <c r="I277" s="1"/>
    </row>
    <row r="278" spans="5:9" ht="12.75" x14ac:dyDescent="0.2">
      <c r="E278" s="1"/>
      <c r="F278" s="1"/>
      <c r="G278" s="1"/>
      <c r="I278" s="1"/>
    </row>
    <row r="279" spans="5:9" ht="12.75" x14ac:dyDescent="0.2">
      <c r="E279" s="1"/>
      <c r="F279" s="1"/>
      <c r="G279" s="1"/>
      <c r="I279" s="1"/>
    </row>
    <row r="280" spans="5:9" ht="12.75" x14ac:dyDescent="0.2">
      <c r="E280" s="1"/>
      <c r="F280" s="1"/>
      <c r="G280" s="1"/>
      <c r="I280" s="1"/>
    </row>
    <row r="281" spans="5:9" ht="12.75" x14ac:dyDescent="0.2">
      <c r="E281" s="1"/>
      <c r="F281" s="1"/>
      <c r="G281" s="1"/>
      <c r="I281" s="1"/>
    </row>
    <row r="282" spans="5:9" ht="12.75" x14ac:dyDescent="0.2">
      <c r="E282" s="1"/>
      <c r="F282" s="1"/>
      <c r="G282" s="1"/>
      <c r="I282" s="1"/>
    </row>
    <row r="283" spans="5:9" ht="12.75" x14ac:dyDescent="0.2">
      <c r="E283" s="1"/>
      <c r="F283" s="1"/>
      <c r="G283" s="1"/>
      <c r="I283" s="1"/>
    </row>
    <row r="284" spans="5:9" ht="12.75" x14ac:dyDescent="0.2">
      <c r="E284" s="1"/>
      <c r="F284" s="1"/>
      <c r="G284" s="1"/>
      <c r="I284" s="1"/>
    </row>
    <row r="285" spans="5:9" ht="12.75" x14ac:dyDescent="0.2">
      <c r="E285" s="1"/>
      <c r="F285" s="1"/>
      <c r="G285" s="1"/>
      <c r="I285" s="1"/>
    </row>
    <row r="286" spans="5:9" ht="12.75" x14ac:dyDescent="0.2">
      <c r="E286" s="1"/>
      <c r="F286" s="1"/>
      <c r="G286" s="1"/>
      <c r="I286" s="1"/>
    </row>
    <row r="287" spans="5:9" ht="12.75" x14ac:dyDescent="0.2">
      <c r="E287" s="1"/>
      <c r="F287" s="1"/>
      <c r="G287" s="1"/>
      <c r="I287" s="1"/>
    </row>
    <row r="288" spans="5:9" ht="12.75" x14ac:dyDescent="0.2">
      <c r="E288" s="1"/>
      <c r="F288" s="1"/>
      <c r="G288" s="1"/>
      <c r="I288" s="1"/>
    </row>
    <row r="289" spans="5:9" ht="12.75" x14ac:dyDescent="0.2">
      <c r="E289" s="1"/>
      <c r="F289" s="1"/>
      <c r="G289" s="1"/>
      <c r="I289" s="1"/>
    </row>
    <row r="290" spans="5:9" ht="12.75" x14ac:dyDescent="0.2">
      <c r="E290" s="1"/>
      <c r="F290" s="1"/>
      <c r="G290" s="1"/>
      <c r="I290" s="1"/>
    </row>
    <row r="291" spans="5:9" ht="12.75" x14ac:dyDescent="0.2">
      <c r="E291" s="1"/>
      <c r="F291" s="1"/>
      <c r="G291" s="1"/>
      <c r="I291" s="1"/>
    </row>
    <row r="292" spans="5:9" ht="12.75" x14ac:dyDescent="0.2">
      <c r="E292" s="1"/>
      <c r="F292" s="1"/>
      <c r="G292" s="1"/>
      <c r="I292" s="1"/>
    </row>
    <row r="293" spans="5:9" ht="12.75" x14ac:dyDescent="0.2">
      <c r="E293" s="1"/>
      <c r="F293" s="1"/>
      <c r="G293" s="1"/>
      <c r="I293" s="1"/>
    </row>
    <row r="294" spans="5:9" ht="12.75" x14ac:dyDescent="0.2">
      <c r="E294" s="1"/>
      <c r="F294" s="1"/>
      <c r="G294" s="1"/>
      <c r="I294" s="1"/>
    </row>
    <row r="295" spans="5:9" ht="12.75" x14ac:dyDescent="0.2">
      <c r="E295" s="1"/>
      <c r="F295" s="1"/>
      <c r="G295" s="1"/>
      <c r="I295" s="1"/>
    </row>
    <row r="296" spans="5:9" ht="12.75" x14ac:dyDescent="0.2">
      <c r="E296" s="1"/>
      <c r="F296" s="1"/>
      <c r="G296" s="1"/>
      <c r="I296" s="1"/>
    </row>
    <row r="297" spans="5:9" ht="12.75" x14ac:dyDescent="0.2">
      <c r="E297" s="1"/>
      <c r="F297" s="1"/>
      <c r="G297" s="1"/>
      <c r="I297" s="1"/>
    </row>
    <row r="298" spans="5:9" ht="12.75" x14ac:dyDescent="0.2">
      <c r="E298" s="1"/>
      <c r="F298" s="1"/>
      <c r="G298" s="1"/>
      <c r="I298" s="1"/>
    </row>
    <row r="299" spans="5:9" ht="12.75" x14ac:dyDescent="0.2">
      <c r="E299" s="1"/>
      <c r="F299" s="1"/>
      <c r="G299" s="1"/>
      <c r="I299" s="1"/>
    </row>
    <row r="300" spans="5:9" ht="12.75" x14ac:dyDescent="0.2">
      <c r="E300" s="1"/>
      <c r="F300" s="1"/>
      <c r="G300" s="1"/>
      <c r="I300" s="1"/>
    </row>
    <row r="301" spans="5:9" ht="12.75" x14ac:dyDescent="0.2">
      <c r="E301" s="1"/>
      <c r="F301" s="1"/>
      <c r="G301" s="1"/>
      <c r="I301" s="1"/>
    </row>
    <row r="302" spans="5:9" ht="12.75" x14ac:dyDescent="0.2">
      <c r="E302" s="1"/>
      <c r="F302" s="1"/>
      <c r="G302" s="1"/>
      <c r="I302" s="1"/>
    </row>
    <row r="303" spans="5:9" ht="12.75" x14ac:dyDescent="0.2">
      <c r="E303" s="1"/>
      <c r="F303" s="1"/>
      <c r="G303" s="1"/>
      <c r="I303" s="1"/>
    </row>
    <row r="304" spans="5:9" ht="12.75" x14ac:dyDescent="0.2">
      <c r="E304" s="1"/>
      <c r="F304" s="1"/>
      <c r="G304" s="1"/>
      <c r="I304" s="1"/>
    </row>
    <row r="305" spans="5:9" ht="12.75" x14ac:dyDescent="0.2">
      <c r="E305" s="1"/>
      <c r="F305" s="1"/>
      <c r="G305" s="1"/>
      <c r="I305" s="1"/>
    </row>
    <row r="306" spans="5:9" ht="12.75" x14ac:dyDescent="0.2">
      <c r="E306" s="1"/>
      <c r="F306" s="1"/>
      <c r="G306" s="1"/>
      <c r="I306" s="1"/>
    </row>
    <row r="307" spans="5:9" ht="12.75" x14ac:dyDescent="0.2">
      <c r="E307" s="1"/>
      <c r="F307" s="1"/>
      <c r="G307" s="1"/>
      <c r="I307" s="1"/>
    </row>
    <row r="308" spans="5:9" ht="12.75" x14ac:dyDescent="0.2">
      <c r="E308" s="1"/>
      <c r="F308" s="1"/>
      <c r="G308" s="1"/>
      <c r="I308" s="1"/>
    </row>
    <row r="309" spans="5:9" ht="12.75" x14ac:dyDescent="0.2">
      <c r="E309" s="1"/>
      <c r="F309" s="1"/>
      <c r="G309" s="1"/>
      <c r="I309" s="1"/>
    </row>
    <row r="310" spans="5:9" ht="12.75" x14ac:dyDescent="0.2">
      <c r="E310" s="1"/>
      <c r="F310" s="1"/>
      <c r="G310" s="1"/>
      <c r="I310" s="1"/>
    </row>
    <row r="311" spans="5:9" ht="12.75" x14ac:dyDescent="0.2">
      <c r="E311" s="1"/>
      <c r="F311" s="1"/>
      <c r="G311" s="1"/>
      <c r="I311" s="1"/>
    </row>
    <row r="312" spans="5:9" ht="12.75" x14ac:dyDescent="0.2">
      <c r="E312" s="1"/>
      <c r="F312" s="1"/>
      <c r="G312" s="1"/>
      <c r="I312" s="1"/>
    </row>
    <row r="313" spans="5:9" ht="12.75" x14ac:dyDescent="0.2">
      <c r="E313" s="1"/>
      <c r="F313" s="1"/>
      <c r="G313" s="1"/>
      <c r="I313" s="1"/>
    </row>
    <row r="314" spans="5:9" ht="12.75" x14ac:dyDescent="0.2">
      <c r="E314" s="1"/>
      <c r="F314" s="1"/>
      <c r="G314" s="1"/>
      <c r="I314" s="1"/>
    </row>
    <row r="315" spans="5:9" ht="12.75" x14ac:dyDescent="0.2">
      <c r="E315" s="1"/>
      <c r="F315" s="1"/>
      <c r="G315" s="1"/>
      <c r="I315" s="1"/>
    </row>
    <row r="316" spans="5:9" ht="12.75" x14ac:dyDescent="0.2">
      <c r="E316" s="1"/>
      <c r="F316" s="1"/>
      <c r="G316" s="1"/>
      <c r="I316" s="1"/>
    </row>
    <row r="317" spans="5:9" ht="12.75" x14ac:dyDescent="0.2">
      <c r="E317" s="1"/>
      <c r="F317" s="1"/>
      <c r="G317" s="1"/>
      <c r="I317" s="1"/>
    </row>
    <row r="318" spans="5:9" ht="12.75" x14ac:dyDescent="0.2">
      <c r="E318" s="1"/>
      <c r="F318" s="1"/>
      <c r="G318" s="1"/>
      <c r="I318" s="1"/>
    </row>
    <row r="319" spans="5:9" ht="12.75" x14ac:dyDescent="0.2">
      <c r="E319" s="1"/>
      <c r="F319" s="1"/>
      <c r="G319" s="1"/>
      <c r="I319" s="1"/>
    </row>
    <row r="320" spans="5:9" ht="12.75" x14ac:dyDescent="0.2">
      <c r="E320" s="1"/>
      <c r="F320" s="1"/>
      <c r="G320" s="1"/>
      <c r="I320" s="1"/>
    </row>
    <row r="321" spans="5:9" ht="12.75" x14ac:dyDescent="0.2">
      <c r="E321" s="1"/>
      <c r="F321" s="1"/>
      <c r="G321" s="1"/>
      <c r="I321" s="1"/>
    </row>
    <row r="322" spans="5:9" ht="12.75" x14ac:dyDescent="0.2">
      <c r="E322" s="1"/>
      <c r="F322" s="1"/>
      <c r="G322" s="1"/>
      <c r="I322" s="1"/>
    </row>
    <row r="323" spans="5:9" ht="12.75" x14ac:dyDescent="0.2">
      <c r="E323" s="1"/>
      <c r="F323" s="1"/>
      <c r="G323" s="1"/>
      <c r="I323" s="1"/>
    </row>
    <row r="324" spans="5:9" ht="12.75" x14ac:dyDescent="0.2">
      <c r="E324" s="1"/>
      <c r="F324" s="1"/>
      <c r="G324" s="1"/>
      <c r="I324" s="1"/>
    </row>
    <row r="325" spans="5:9" ht="12.75" x14ac:dyDescent="0.2">
      <c r="E325" s="1"/>
      <c r="F325" s="1"/>
      <c r="G325" s="1"/>
      <c r="I325" s="1"/>
    </row>
    <row r="326" spans="5:9" ht="12.75" x14ac:dyDescent="0.2">
      <c r="E326" s="1"/>
      <c r="F326" s="1"/>
      <c r="G326" s="1"/>
      <c r="I326" s="1"/>
    </row>
    <row r="327" spans="5:9" ht="12.75" x14ac:dyDescent="0.2">
      <c r="E327" s="1"/>
      <c r="F327" s="1"/>
      <c r="G327" s="1"/>
      <c r="I327" s="1"/>
    </row>
    <row r="328" spans="5:9" ht="12.75" x14ac:dyDescent="0.2">
      <c r="E328" s="1"/>
      <c r="F328" s="1"/>
      <c r="G328" s="1"/>
      <c r="I328" s="1"/>
    </row>
    <row r="329" spans="5:9" ht="12.75" x14ac:dyDescent="0.2">
      <c r="E329" s="1"/>
      <c r="F329" s="1"/>
      <c r="G329" s="1"/>
      <c r="I329" s="1"/>
    </row>
    <row r="330" spans="5:9" ht="12.75" x14ac:dyDescent="0.2">
      <c r="E330" s="1"/>
      <c r="F330" s="1"/>
      <c r="G330" s="1"/>
      <c r="I330" s="1"/>
    </row>
    <row r="331" spans="5:9" ht="12.75" x14ac:dyDescent="0.2">
      <c r="E331" s="1"/>
      <c r="F331" s="1"/>
      <c r="G331" s="1"/>
      <c r="I331" s="1"/>
    </row>
    <row r="332" spans="5:9" ht="12.75" x14ac:dyDescent="0.2">
      <c r="E332" s="1"/>
      <c r="F332" s="1"/>
      <c r="G332" s="1"/>
      <c r="I332" s="1"/>
    </row>
    <row r="333" spans="5:9" ht="12.75" x14ac:dyDescent="0.2">
      <c r="E333" s="1"/>
      <c r="F333" s="1"/>
      <c r="G333" s="1"/>
      <c r="I333" s="1"/>
    </row>
    <row r="334" spans="5:9" ht="12.75" x14ac:dyDescent="0.2">
      <c r="E334" s="1"/>
      <c r="F334" s="1"/>
      <c r="G334" s="1"/>
      <c r="I334" s="1"/>
    </row>
    <row r="335" spans="5:9" ht="12.75" x14ac:dyDescent="0.2">
      <c r="E335" s="1"/>
      <c r="F335" s="1"/>
      <c r="G335" s="1"/>
      <c r="I335" s="1"/>
    </row>
    <row r="336" spans="5:9" ht="12.75" x14ac:dyDescent="0.2">
      <c r="E336" s="1"/>
      <c r="F336" s="1"/>
      <c r="G336" s="1"/>
      <c r="I336" s="1"/>
    </row>
    <row r="337" spans="5:9" ht="12.75" x14ac:dyDescent="0.2">
      <c r="E337" s="1"/>
      <c r="F337" s="1"/>
      <c r="G337" s="1"/>
      <c r="I337" s="1"/>
    </row>
    <row r="338" spans="5:9" ht="12.75" x14ac:dyDescent="0.2">
      <c r="E338" s="1"/>
      <c r="F338" s="1"/>
      <c r="G338" s="1"/>
      <c r="I338" s="1"/>
    </row>
    <row r="339" spans="5:9" ht="12.75" x14ac:dyDescent="0.2">
      <c r="E339" s="1"/>
      <c r="F339" s="1"/>
      <c r="G339" s="1"/>
      <c r="I339" s="1"/>
    </row>
    <row r="340" spans="5:9" ht="12.75" x14ac:dyDescent="0.2">
      <c r="E340" s="1"/>
      <c r="F340" s="1"/>
      <c r="G340" s="1"/>
      <c r="I340" s="1"/>
    </row>
    <row r="341" spans="5:9" ht="12.75" x14ac:dyDescent="0.2">
      <c r="E341" s="1"/>
      <c r="F341" s="1"/>
      <c r="G341" s="1"/>
      <c r="I341" s="1"/>
    </row>
    <row r="342" spans="5:9" ht="12.75" x14ac:dyDescent="0.2">
      <c r="E342" s="1"/>
      <c r="F342" s="1"/>
      <c r="G342" s="1"/>
      <c r="I342" s="1"/>
    </row>
    <row r="343" spans="5:9" ht="12.75" x14ac:dyDescent="0.2">
      <c r="E343" s="1"/>
      <c r="F343" s="1"/>
      <c r="G343" s="1"/>
      <c r="I343" s="1"/>
    </row>
    <row r="344" spans="5:9" ht="12.75" x14ac:dyDescent="0.2">
      <c r="E344" s="1"/>
      <c r="F344" s="1"/>
      <c r="G344" s="1"/>
      <c r="I344" s="1"/>
    </row>
    <row r="345" spans="5:9" ht="12.75" x14ac:dyDescent="0.2">
      <c r="E345" s="1"/>
      <c r="F345" s="1"/>
      <c r="G345" s="1"/>
      <c r="I345" s="1"/>
    </row>
    <row r="346" spans="5:9" ht="12.75" x14ac:dyDescent="0.2">
      <c r="E346" s="1"/>
      <c r="F346" s="1"/>
      <c r="G346" s="1"/>
      <c r="I346" s="1"/>
    </row>
    <row r="347" spans="5:9" ht="12.75" x14ac:dyDescent="0.2">
      <c r="E347" s="1"/>
      <c r="F347" s="1"/>
      <c r="G347" s="1"/>
      <c r="I347" s="1"/>
    </row>
    <row r="348" spans="5:9" ht="12.75" x14ac:dyDescent="0.2">
      <c r="E348" s="1"/>
      <c r="F348" s="1"/>
      <c r="G348" s="1"/>
      <c r="I348" s="1"/>
    </row>
    <row r="349" spans="5:9" ht="12.75" x14ac:dyDescent="0.2">
      <c r="E349" s="1"/>
      <c r="F349" s="1"/>
      <c r="G349" s="1"/>
      <c r="I349" s="1"/>
    </row>
    <row r="350" spans="5:9" ht="12.75" x14ac:dyDescent="0.2">
      <c r="E350" s="1"/>
      <c r="F350" s="1"/>
      <c r="G350" s="1"/>
      <c r="I350" s="1"/>
    </row>
    <row r="351" spans="5:9" ht="12.75" x14ac:dyDescent="0.2">
      <c r="E351" s="1"/>
      <c r="F351" s="1"/>
      <c r="G351" s="1"/>
      <c r="I351" s="1"/>
    </row>
    <row r="352" spans="5:9" ht="12.75" x14ac:dyDescent="0.2">
      <c r="E352" s="1"/>
      <c r="F352" s="1"/>
      <c r="G352" s="1"/>
      <c r="I352" s="1"/>
    </row>
    <row r="353" spans="5:9" ht="12.75" x14ac:dyDescent="0.2">
      <c r="E353" s="1"/>
      <c r="F353" s="1"/>
      <c r="G353" s="1"/>
      <c r="I353" s="1"/>
    </row>
    <row r="354" spans="5:9" ht="12.75" x14ac:dyDescent="0.2">
      <c r="E354" s="1"/>
      <c r="F354" s="1"/>
      <c r="G354" s="1"/>
      <c r="I354" s="1"/>
    </row>
    <row r="355" spans="5:9" ht="12.75" x14ac:dyDescent="0.2">
      <c r="E355" s="1"/>
      <c r="F355" s="1"/>
      <c r="G355" s="1"/>
      <c r="I355" s="1"/>
    </row>
    <row r="356" spans="5:9" ht="12.75" x14ac:dyDescent="0.2">
      <c r="E356" s="1"/>
      <c r="F356" s="1"/>
      <c r="G356" s="1"/>
      <c r="I356" s="1"/>
    </row>
    <row r="357" spans="5:9" ht="12.75" x14ac:dyDescent="0.2">
      <c r="E357" s="1"/>
      <c r="F357" s="1"/>
      <c r="G357" s="1"/>
      <c r="I357" s="1"/>
    </row>
    <row r="358" spans="5:9" ht="12.75" x14ac:dyDescent="0.2">
      <c r="E358" s="1"/>
      <c r="F358" s="1"/>
      <c r="G358" s="1"/>
      <c r="I358" s="1"/>
    </row>
    <row r="359" spans="5:9" ht="12.75" x14ac:dyDescent="0.2">
      <c r="E359" s="1"/>
      <c r="F359" s="1"/>
      <c r="G359" s="1"/>
      <c r="I359" s="1"/>
    </row>
    <row r="360" spans="5:9" ht="12.75" x14ac:dyDescent="0.2">
      <c r="E360" s="1"/>
      <c r="F360" s="1"/>
      <c r="G360" s="1"/>
      <c r="I360" s="1"/>
    </row>
    <row r="361" spans="5:9" ht="12.75" x14ac:dyDescent="0.2">
      <c r="E361" s="1"/>
      <c r="F361" s="1"/>
      <c r="G361" s="1"/>
      <c r="I361" s="1"/>
    </row>
    <row r="362" spans="5:9" ht="12.75" x14ac:dyDescent="0.2">
      <c r="E362" s="1"/>
      <c r="F362" s="1"/>
      <c r="G362" s="1"/>
      <c r="I362" s="1"/>
    </row>
    <row r="363" spans="5:9" ht="12.75" x14ac:dyDescent="0.2">
      <c r="E363" s="1"/>
      <c r="F363" s="1"/>
      <c r="G363" s="1"/>
      <c r="I363" s="1"/>
    </row>
    <row r="364" spans="5:9" ht="12.75" x14ac:dyDescent="0.2">
      <c r="E364" s="1"/>
      <c r="F364" s="1"/>
      <c r="G364" s="1"/>
      <c r="I364" s="1"/>
    </row>
    <row r="365" spans="5:9" ht="12.75" x14ac:dyDescent="0.2">
      <c r="E365" s="1"/>
      <c r="F365" s="1"/>
      <c r="G365" s="1"/>
      <c r="I365" s="1"/>
    </row>
    <row r="366" spans="5:9" ht="12.75" x14ac:dyDescent="0.2">
      <c r="E366" s="1"/>
      <c r="F366" s="1"/>
      <c r="G366" s="1"/>
      <c r="I366" s="1"/>
    </row>
    <row r="367" spans="5:9" ht="12.75" x14ac:dyDescent="0.2">
      <c r="E367" s="1"/>
      <c r="F367" s="1"/>
      <c r="G367" s="1"/>
      <c r="I367" s="1"/>
    </row>
    <row r="368" spans="5:9" ht="12.75" x14ac:dyDescent="0.2">
      <c r="E368" s="1"/>
      <c r="F368" s="1"/>
      <c r="G368" s="1"/>
      <c r="I368" s="1"/>
    </row>
    <row r="369" spans="5:9" ht="12.75" x14ac:dyDescent="0.2">
      <c r="E369" s="1"/>
      <c r="F369" s="1"/>
      <c r="G369" s="1"/>
      <c r="I369" s="1"/>
    </row>
    <row r="370" spans="5:9" ht="12.75" x14ac:dyDescent="0.2">
      <c r="E370" s="1"/>
      <c r="F370" s="1"/>
      <c r="G370" s="1"/>
      <c r="I370" s="1"/>
    </row>
    <row r="371" spans="5:9" ht="12.75" x14ac:dyDescent="0.2">
      <c r="E371" s="1"/>
      <c r="F371" s="1"/>
      <c r="G371" s="1"/>
      <c r="I371" s="1"/>
    </row>
    <row r="372" spans="5:9" ht="12.75" x14ac:dyDescent="0.2">
      <c r="E372" s="1"/>
      <c r="F372" s="1"/>
      <c r="G372" s="1"/>
      <c r="I372" s="1"/>
    </row>
    <row r="373" spans="5:9" ht="12.75" x14ac:dyDescent="0.2">
      <c r="E373" s="1"/>
      <c r="F373" s="1"/>
      <c r="G373" s="1"/>
      <c r="I373" s="1"/>
    </row>
    <row r="374" spans="5:9" ht="12.75" x14ac:dyDescent="0.2">
      <c r="E374" s="1"/>
      <c r="F374" s="1"/>
      <c r="G374" s="1"/>
      <c r="I374" s="1"/>
    </row>
    <row r="375" spans="5:9" ht="12.75" x14ac:dyDescent="0.2">
      <c r="E375" s="1"/>
      <c r="F375" s="1"/>
      <c r="G375" s="1"/>
      <c r="I375" s="1"/>
    </row>
    <row r="376" spans="5:9" ht="12.75" x14ac:dyDescent="0.2">
      <c r="E376" s="1"/>
      <c r="F376" s="1"/>
      <c r="G376" s="1"/>
      <c r="I376" s="1"/>
    </row>
    <row r="377" spans="5:9" ht="12.75" x14ac:dyDescent="0.2">
      <c r="E377" s="1"/>
      <c r="F377" s="1"/>
      <c r="G377" s="1"/>
      <c r="I377" s="1"/>
    </row>
    <row r="378" spans="5:9" ht="12.75" x14ac:dyDescent="0.2">
      <c r="E378" s="1"/>
      <c r="F378" s="1"/>
      <c r="G378" s="1"/>
      <c r="I378" s="1"/>
    </row>
    <row r="379" spans="5:9" ht="12.75" x14ac:dyDescent="0.2">
      <c r="E379" s="1"/>
      <c r="F379" s="1"/>
      <c r="G379" s="1"/>
      <c r="I379" s="1"/>
    </row>
    <row r="380" spans="5:9" ht="12.75" x14ac:dyDescent="0.2">
      <c r="E380" s="1"/>
      <c r="F380" s="1"/>
      <c r="G380" s="1"/>
      <c r="I380" s="1"/>
    </row>
    <row r="381" spans="5:9" ht="12.75" x14ac:dyDescent="0.2">
      <c r="E381" s="1"/>
      <c r="F381" s="1"/>
      <c r="G381" s="1"/>
      <c r="I381" s="1"/>
    </row>
    <row r="382" spans="5:9" ht="12.75" x14ac:dyDescent="0.2">
      <c r="E382" s="1"/>
      <c r="F382" s="1"/>
      <c r="G382" s="1"/>
      <c r="I382" s="1"/>
    </row>
    <row r="383" spans="5:9" ht="12.75" x14ac:dyDescent="0.2">
      <c r="E383" s="1"/>
      <c r="F383" s="1"/>
      <c r="G383" s="1"/>
      <c r="I383" s="1"/>
    </row>
    <row r="384" spans="5:9" ht="12.75" x14ac:dyDescent="0.2">
      <c r="E384" s="1"/>
      <c r="F384" s="1"/>
      <c r="G384" s="1"/>
      <c r="I384" s="1"/>
    </row>
    <row r="385" spans="5:9" ht="12.75" x14ac:dyDescent="0.2">
      <c r="E385" s="1"/>
      <c r="F385" s="1"/>
      <c r="G385" s="1"/>
      <c r="I385" s="1"/>
    </row>
    <row r="386" spans="5:9" ht="12.75" x14ac:dyDescent="0.2">
      <c r="E386" s="1"/>
      <c r="F386" s="1"/>
      <c r="G386" s="1"/>
      <c r="I386" s="1"/>
    </row>
    <row r="387" spans="5:9" ht="12.75" x14ac:dyDescent="0.2">
      <c r="E387" s="1"/>
      <c r="F387" s="1"/>
      <c r="G387" s="1"/>
      <c r="I387" s="1"/>
    </row>
    <row r="388" spans="5:9" ht="12.75" x14ac:dyDescent="0.2">
      <c r="E388" s="1"/>
      <c r="F388" s="1"/>
      <c r="G388" s="1"/>
      <c r="I388" s="1"/>
    </row>
    <row r="389" spans="5:9" ht="12.75" x14ac:dyDescent="0.2">
      <c r="E389" s="1"/>
      <c r="F389" s="1"/>
      <c r="G389" s="1"/>
      <c r="I389" s="1"/>
    </row>
    <row r="390" spans="5:9" ht="12.75" x14ac:dyDescent="0.2">
      <c r="E390" s="1"/>
      <c r="F390" s="1"/>
      <c r="G390" s="1"/>
      <c r="I390" s="1"/>
    </row>
    <row r="391" spans="5:9" ht="12.75" x14ac:dyDescent="0.2">
      <c r="E391" s="1"/>
      <c r="F391" s="1"/>
      <c r="G391" s="1"/>
      <c r="I391" s="1"/>
    </row>
    <row r="392" spans="5:9" ht="12.75" x14ac:dyDescent="0.2">
      <c r="E392" s="1"/>
      <c r="F392" s="1"/>
      <c r="G392" s="1"/>
      <c r="I392" s="1"/>
    </row>
    <row r="393" spans="5:9" ht="12.75" x14ac:dyDescent="0.2">
      <c r="E393" s="1"/>
      <c r="F393" s="1"/>
      <c r="G393" s="1"/>
      <c r="I393" s="1"/>
    </row>
    <row r="394" spans="5:9" ht="12.75" x14ac:dyDescent="0.2">
      <c r="E394" s="1"/>
      <c r="F394" s="1"/>
      <c r="G394" s="1"/>
      <c r="I394" s="1"/>
    </row>
    <row r="395" spans="5:9" ht="12.75" x14ac:dyDescent="0.2">
      <c r="E395" s="1"/>
      <c r="F395" s="1"/>
      <c r="G395" s="1"/>
      <c r="I395" s="1"/>
    </row>
    <row r="396" spans="5:9" ht="12.75" x14ac:dyDescent="0.2">
      <c r="E396" s="1"/>
      <c r="F396" s="1"/>
      <c r="G396" s="1"/>
      <c r="I396" s="1"/>
    </row>
    <row r="397" spans="5:9" ht="12.75" x14ac:dyDescent="0.2">
      <c r="E397" s="1"/>
      <c r="F397" s="1"/>
      <c r="G397" s="1"/>
      <c r="I397" s="1"/>
    </row>
    <row r="398" spans="5:9" ht="12.75" x14ac:dyDescent="0.2">
      <c r="E398" s="1"/>
      <c r="F398" s="1"/>
      <c r="G398" s="1"/>
      <c r="I398" s="1"/>
    </row>
    <row r="399" spans="5:9" ht="12.75" x14ac:dyDescent="0.2">
      <c r="E399" s="1"/>
      <c r="F399" s="1"/>
      <c r="G399" s="1"/>
      <c r="I399" s="1"/>
    </row>
    <row r="400" spans="5:9" ht="12.75" x14ac:dyDescent="0.2">
      <c r="E400" s="1"/>
      <c r="F400" s="1"/>
      <c r="G400" s="1"/>
      <c r="I400" s="1"/>
    </row>
    <row r="401" spans="5:9" ht="12.75" x14ac:dyDescent="0.2">
      <c r="E401" s="1"/>
      <c r="F401" s="1"/>
      <c r="G401" s="1"/>
      <c r="I401" s="1"/>
    </row>
    <row r="402" spans="5:9" ht="12.75" x14ac:dyDescent="0.2">
      <c r="E402" s="1"/>
      <c r="F402" s="1"/>
      <c r="G402" s="1"/>
      <c r="I402" s="1"/>
    </row>
    <row r="403" spans="5:9" ht="12.75" x14ac:dyDescent="0.2">
      <c r="E403" s="1"/>
      <c r="F403" s="1"/>
      <c r="G403" s="1"/>
      <c r="I403" s="1"/>
    </row>
    <row r="404" spans="5:9" ht="12.75" x14ac:dyDescent="0.2">
      <c r="E404" s="1"/>
      <c r="F404" s="1"/>
      <c r="G404" s="1"/>
      <c r="I404" s="1"/>
    </row>
    <row r="405" spans="5:9" ht="12.75" x14ac:dyDescent="0.2">
      <c r="E405" s="1"/>
      <c r="F405" s="1"/>
      <c r="G405" s="1"/>
      <c r="I405" s="1"/>
    </row>
    <row r="406" spans="5:9" ht="12.75" x14ac:dyDescent="0.2">
      <c r="E406" s="1"/>
      <c r="F406" s="1"/>
      <c r="G406" s="1"/>
      <c r="I406" s="1"/>
    </row>
    <row r="407" spans="5:9" ht="12.75" x14ac:dyDescent="0.2">
      <c r="E407" s="1"/>
      <c r="F407" s="1"/>
      <c r="G407" s="1"/>
      <c r="I407" s="1"/>
    </row>
    <row r="408" spans="5:9" ht="12.75" x14ac:dyDescent="0.2">
      <c r="E408" s="1"/>
      <c r="F408" s="1"/>
      <c r="G408" s="1"/>
      <c r="I408" s="1"/>
    </row>
    <row r="409" spans="5:9" ht="12.75" x14ac:dyDescent="0.2">
      <c r="E409" s="1"/>
      <c r="F409" s="1"/>
      <c r="G409" s="1"/>
      <c r="I409" s="1"/>
    </row>
    <row r="410" spans="5:9" ht="12.75" x14ac:dyDescent="0.2">
      <c r="E410" s="1"/>
      <c r="F410" s="1"/>
      <c r="G410" s="1"/>
      <c r="I410" s="1"/>
    </row>
    <row r="411" spans="5:9" ht="12.75" x14ac:dyDescent="0.2">
      <c r="E411" s="1"/>
      <c r="F411" s="1"/>
      <c r="G411" s="1"/>
      <c r="I411" s="1"/>
    </row>
    <row r="412" spans="5:9" ht="12.75" x14ac:dyDescent="0.2">
      <c r="E412" s="1"/>
      <c r="F412" s="1"/>
      <c r="G412" s="1"/>
      <c r="I412" s="1"/>
    </row>
    <row r="413" spans="5:9" ht="12.75" x14ac:dyDescent="0.2">
      <c r="E413" s="1"/>
      <c r="F413" s="1"/>
      <c r="G413" s="1"/>
      <c r="I413" s="1"/>
    </row>
    <row r="414" spans="5:9" ht="12.75" x14ac:dyDescent="0.2">
      <c r="E414" s="1"/>
      <c r="F414" s="1"/>
      <c r="G414" s="1"/>
      <c r="I414" s="1"/>
    </row>
    <row r="415" spans="5:9" ht="12.75" x14ac:dyDescent="0.2">
      <c r="E415" s="1"/>
      <c r="F415" s="1"/>
      <c r="G415" s="1"/>
      <c r="I415" s="1"/>
    </row>
    <row r="416" spans="5:9" ht="12.75" x14ac:dyDescent="0.2">
      <c r="E416" s="1"/>
      <c r="F416" s="1"/>
      <c r="G416" s="1"/>
      <c r="I416" s="1"/>
    </row>
    <row r="417" spans="5:9" ht="12.75" x14ac:dyDescent="0.2">
      <c r="E417" s="1"/>
      <c r="F417" s="1"/>
      <c r="G417" s="1"/>
      <c r="I417" s="1"/>
    </row>
    <row r="418" spans="5:9" ht="12.75" x14ac:dyDescent="0.2">
      <c r="E418" s="1"/>
      <c r="F418" s="1"/>
      <c r="G418" s="1"/>
      <c r="I418" s="1"/>
    </row>
    <row r="419" spans="5:9" ht="12.75" x14ac:dyDescent="0.2">
      <c r="E419" s="1"/>
      <c r="F419" s="1"/>
      <c r="G419" s="1"/>
      <c r="I419" s="1"/>
    </row>
    <row r="420" spans="5:9" ht="12.75" x14ac:dyDescent="0.2">
      <c r="E420" s="1"/>
      <c r="F420" s="1"/>
      <c r="G420" s="1"/>
      <c r="I420" s="1"/>
    </row>
    <row r="421" spans="5:9" ht="12.75" x14ac:dyDescent="0.2">
      <c r="E421" s="1"/>
      <c r="F421" s="1"/>
      <c r="G421" s="1"/>
      <c r="I421" s="1"/>
    </row>
    <row r="422" spans="5:9" ht="12.75" x14ac:dyDescent="0.2">
      <c r="E422" s="1"/>
      <c r="F422" s="1"/>
      <c r="G422" s="1"/>
      <c r="I422" s="1"/>
    </row>
    <row r="423" spans="5:9" ht="12.75" x14ac:dyDescent="0.2">
      <c r="E423" s="1"/>
      <c r="F423" s="1"/>
      <c r="G423" s="1"/>
      <c r="I423" s="1"/>
    </row>
    <row r="424" spans="5:9" ht="12.75" x14ac:dyDescent="0.2">
      <c r="E424" s="1"/>
      <c r="F424" s="1"/>
      <c r="G424" s="1"/>
      <c r="I424" s="1"/>
    </row>
    <row r="425" spans="5:9" ht="12.75" x14ac:dyDescent="0.2">
      <c r="E425" s="1"/>
      <c r="F425" s="1"/>
      <c r="G425" s="1"/>
      <c r="I425" s="1"/>
    </row>
    <row r="426" spans="5:9" ht="12.75" x14ac:dyDescent="0.2">
      <c r="E426" s="1"/>
      <c r="F426" s="1"/>
      <c r="G426" s="1"/>
      <c r="I426" s="1"/>
    </row>
    <row r="427" spans="5:9" ht="12.75" x14ac:dyDescent="0.2">
      <c r="E427" s="1"/>
      <c r="F427" s="1"/>
      <c r="G427" s="1"/>
      <c r="I427" s="1"/>
    </row>
    <row r="428" spans="5:9" ht="12.75" x14ac:dyDescent="0.2">
      <c r="E428" s="1"/>
      <c r="F428" s="1"/>
      <c r="G428" s="1"/>
      <c r="I428" s="1"/>
    </row>
    <row r="429" spans="5:9" ht="12.75" x14ac:dyDescent="0.2">
      <c r="E429" s="1"/>
      <c r="F429" s="1"/>
      <c r="G429" s="1"/>
      <c r="I429" s="1"/>
    </row>
    <row r="430" spans="5:9" ht="12.75" x14ac:dyDescent="0.2">
      <c r="E430" s="1"/>
      <c r="F430" s="1"/>
      <c r="G430" s="1"/>
      <c r="I430" s="1"/>
    </row>
    <row r="431" spans="5:9" ht="12.75" x14ac:dyDescent="0.2">
      <c r="E431" s="1"/>
      <c r="F431" s="1"/>
      <c r="G431" s="1"/>
      <c r="I431" s="1"/>
    </row>
    <row r="432" spans="5:9" ht="12.75" x14ac:dyDescent="0.2">
      <c r="E432" s="1"/>
      <c r="F432" s="1"/>
      <c r="G432" s="1"/>
      <c r="I432" s="1"/>
    </row>
    <row r="433" spans="5:9" ht="12.75" x14ac:dyDescent="0.2">
      <c r="E433" s="1"/>
      <c r="F433" s="1"/>
      <c r="G433" s="1"/>
      <c r="I433" s="1"/>
    </row>
    <row r="434" spans="5:9" ht="12.75" x14ac:dyDescent="0.2">
      <c r="E434" s="1"/>
      <c r="F434" s="1"/>
      <c r="G434" s="1"/>
      <c r="I434" s="1"/>
    </row>
    <row r="435" spans="5:9" ht="12.75" x14ac:dyDescent="0.2">
      <c r="E435" s="1"/>
      <c r="F435" s="1"/>
      <c r="G435" s="1"/>
      <c r="I435" s="1"/>
    </row>
    <row r="436" spans="5:9" ht="12.75" x14ac:dyDescent="0.2">
      <c r="E436" s="1"/>
      <c r="F436" s="1"/>
      <c r="G436" s="1"/>
      <c r="I436" s="1"/>
    </row>
    <row r="437" spans="5:9" ht="12.75" x14ac:dyDescent="0.2">
      <c r="E437" s="1"/>
      <c r="F437" s="1"/>
      <c r="G437" s="1"/>
      <c r="I437" s="1"/>
    </row>
    <row r="438" spans="5:9" ht="12.75" x14ac:dyDescent="0.2">
      <c r="E438" s="1"/>
      <c r="F438" s="1"/>
      <c r="G438" s="1"/>
      <c r="I438" s="1"/>
    </row>
    <row r="439" spans="5:9" ht="12.75" x14ac:dyDescent="0.2">
      <c r="E439" s="1"/>
      <c r="F439" s="1"/>
      <c r="G439" s="1"/>
      <c r="I439" s="1"/>
    </row>
    <row r="440" spans="5:9" ht="12.75" x14ac:dyDescent="0.2">
      <c r="E440" s="1"/>
      <c r="F440" s="1"/>
      <c r="G440" s="1"/>
      <c r="I440" s="1"/>
    </row>
    <row r="441" spans="5:9" ht="12.75" x14ac:dyDescent="0.2">
      <c r="E441" s="1"/>
      <c r="F441" s="1"/>
      <c r="G441" s="1"/>
      <c r="I441" s="1"/>
    </row>
    <row r="442" spans="5:9" ht="12.75" x14ac:dyDescent="0.2">
      <c r="E442" s="1"/>
      <c r="F442" s="1"/>
      <c r="G442" s="1"/>
      <c r="I442" s="1"/>
    </row>
    <row r="443" spans="5:9" ht="12.75" x14ac:dyDescent="0.2">
      <c r="E443" s="1"/>
      <c r="F443" s="1"/>
      <c r="G443" s="1"/>
      <c r="I443" s="1"/>
    </row>
    <row r="444" spans="5:9" ht="12.75" x14ac:dyDescent="0.2">
      <c r="E444" s="1"/>
      <c r="F444" s="1"/>
      <c r="G444" s="1"/>
      <c r="I444" s="1"/>
    </row>
    <row r="445" spans="5:9" ht="12.75" x14ac:dyDescent="0.2">
      <c r="E445" s="1"/>
      <c r="F445" s="1"/>
      <c r="G445" s="1"/>
      <c r="I445" s="1"/>
    </row>
    <row r="446" spans="5:9" ht="12.75" x14ac:dyDescent="0.2">
      <c r="E446" s="1"/>
      <c r="F446" s="1"/>
      <c r="G446" s="1"/>
      <c r="I446" s="1"/>
    </row>
    <row r="447" spans="5:9" ht="12.75" x14ac:dyDescent="0.2">
      <c r="E447" s="1"/>
      <c r="F447" s="1"/>
      <c r="G447" s="1"/>
      <c r="I447" s="1"/>
    </row>
    <row r="448" spans="5:9" ht="12.75" x14ac:dyDescent="0.2">
      <c r="E448" s="1"/>
      <c r="F448" s="1"/>
      <c r="G448" s="1"/>
      <c r="I448" s="1"/>
    </row>
    <row r="449" spans="5:9" ht="12.75" x14ac:dyDescent="0.2">
      <c r="E449" s="1"/>
      <c r="F449" s="1"/>
      <c r="G449" s="1"/>
      <c r="I449" s="1"/>
    </row>
    <row r="450" spans="5:9" ht="12.75" x14ac:dyDescent="0.2">
      <c r="E450" s="1"/>
      <c r="F450" s="1"/>
      <c r="G450" s="1"/>
      <c r="I450" s="1"/>
    </row>
    <row r="451" spans="5:9" ht="12.75" x14ac:dyDescent="0.2">
      <c r="E451" s="1"/>
      <c r="F451" s="1"/>
      <c r="G451" s="1"/>
      <c r="I451" s="1"/>
    </row>
    <row r="452" spans="5:9" ht="12.75" x14ac:dyDescent="0.2">
      <c r="E452" s="1"/>
      <c r="F452" s="1"/>
      <c r="G452" s="1"/>
      <c r="I452" s="1"/>
    </row>
    <row r="453" spans="5:9" ht="12.75" x14ac:dyDescent="0.2">
      <c r="E453" s="1"/>
      <c r="F453" s="1"/>
      <c r="G453" s="1"/>
      <c r="I453" s="1"/>
    </row>
    <row r="454" spans="5:9" ht="12.75" x14ac:dyDescent="0.2">
      <c r="E454" s="1"/>
      <c r="F454" s="1"/>
      <c r="G454" s="1"/>
      <c r="I454" s="1"/>
    </row>
    <row r="455" spans="5:9" ht="12.75" x14ac:dyDescent="0.2">
      <c r="E455" s="1"/>
      <c r="F455" s="1"/>
      <c r="G455" s="1"/>
      <c r="I455" s="1"/>
    </row>
    <row r="456" spans="5:9" ht="12.75" x14ac:dyDescent="0.2">
      <c r="E456" s="1"/>
      <c r="F456" s="1"/>
      <c r="G456" s="1"/>
      <c r="I456" s="1"/>
    </row>
    <row r="457" spans="5:9" ht="12.75" x14ac:dyDescent="0.2">
      <c r="E457" s="1"/>
      <c r="F457" s="1"/>
      <c r="G457" s="1"/>
      <c r="I457" s="1"/>
    </row>
    <row r="458" spans="5:9" ht="12.75" x14ac:dyDescent="0.2">
      <c r="E458" s="1"/>
      <c r="F458" s="1"/>
      <c r="G458" s="1"/>
      <c r="I458" s="1"/>
    </row>
    <row r="459" spans="5:9" ht="12.75" x14ac:dyDescent="0.2">
      <c r="E459" s="1"/>
      <c r="F459" s="1"/>
      <c r="G459" s="1"/>
      <c r="I459" s="1"/>
    </row>
    <row r="460" spans="5:9" ht="12.75" x14ac:dyDescent="0.2">
      <c r="E460" s="1"/>
      <c r="F460" s="1"/>
      <c r="G460" s="1"/>
      <c r="I460" s="1"/>
    </row>
    <row r="461" spans="5:9" ht="12.75" x14ac:dyDescent="0.2">
      <c r="E461" s="1"/>
      <c r="F461" s="1"/>
      <c r="G461" s="1"/>
      <c r="I461" s="1"/>
    </row>
    <row r="462" spans="5:9" ht="12.75" x14ac:dyDescent="0.2">
      <c r="E462" s="1"/>
      <c r="F462" s="1"/>
      <c r="G462" s="1"/>
      <c r="I462" s="1"/>
    </row>
    <row r="463" spans="5:9" ht="12.75" x14ac:dyDescent="0.2">
      <c r="E463" s="1"/>
      <c r="F463" s="1"/>
      <c r="G463" s="1"/>
      <c r="I463" s="1"/>
    </row>
    <row r="464" spans="5:9" ht="12.75" x14ac:dyDescent="0.2">
      <c r="E464" s="1"/>
      <c r="F464" s="1"/>
      <c r="G464" s="1"/>
      <c r="I464" s="1"/>
    </row>
    <row r="465" spans="5:9" ht="12.75" x14ac:dyDescent="0.2">
      <c r="E465" s="1"/>
      <c r="F465" s="1"/>
      <c r="G465" s="1"/>
      <c r="I465" s="1"/>
    </row>
    <row r="466" spans="5:9" ht="12.75" x14ac:dyDescent="0.2">
      <c r="E466" s="1"/>
      <c r="F466" s="1"/>
      <c r="G466" s="1"/>
      <c r="I466" s="1"/>
    </row>
    <row r="467" spans="5:9" ht="12.75" x14ac:dyDescent="0.2">
      <c r="E467" s="1"/>
      <c r="F467" s="1"/>
      <c r="G467" s="1"/>
      <c r="I467" s="1"/>
    </row>
    <row r="468" spans="5:9" ht="12.75" x14ac:dyDescent="0.2">
      <c r="E468" s="1"/>
      <c r="F468" s="1"/>
      <c r="G468" s="1"/>
      <c r="I468" s="1"/>
    </row>
    <row r="469" spans="5:9" ht="12.75" x14ac:dyDescent="0.2">
      <c r="E469" s="1"/>
      <c r="F469" s="1"/>
      <c r="G469" s="1"/>
      <c r="I469" s="1"/>
    </row>
    <row r="470" spans="5:9" ht="12.75" x14ac:dyDescent="0.2">
      <c r="E470" s="1"/>
      <c r="F470" s="1"/>
      <c r="G470" s="1"/>
      <c r="I470" s="1"/>
    </row>
    <row r="471" spans="5:9" ht="12.75" x14ac:dyDescent="0.2">
      <c r="E471" s="1"/>
      <c r="F471" s="1"/>
      <c r="G471" s="1"/>
      <c r="I471" s="1"/>
    </row>
    <row r="472" spans="5:9" ht="12.75" x14ac:dyDescent="0.2">
      <c r="E472" s="1"/>
      <c r="F472" s="1"/>
      <c r="G472" s="1"/>
      <c r="I472" s="1"/>
    </row>
    <row r="473" spans="5:9" ht="12.75" x14ac:dyDescent="0.2">
      <c r="E473" s="1"/>
      <c r="F473" s="1"/>
      <c r="G473" s="1"/>
      <c r="I473" s="1"/>
    </row>
    <row r="474" spans="5:9" ht="12.75" x14ac:dyDescent="0.2">
      <c r="E474" s="1"/>
      <c r="F474" s="1"/>
      <c r="G474" s="1"/>
      <c r="I474" s="1"/>
    </row>
    <row r="475" spans="5:9" ht="12.75" x14ac:dyDescent="0.2">
      <c r="E475" s="1"/>
      <c r="F475" s="1"/>
      <c r="G475" s="1"/>
      <c r="I475" s="1"/>
    </row>
    <row r="476" spans="5:9" ht="12.75" x14ac:dyDescent="0.2">
      <c r="E476" s="1"/>
      <c r="F476" s="1"/>
      <c r="G476" s="1"/>
      <c r="I476" s="1"/>
    </row>
    <row r="477" spans="5:9" ht="12.75" x14ac:dyDescent="0.2">
      <c r="E477" s="1"/>
      <c r="F477" s="1"/>
      <c r="G477" s="1"/>
      <c r="I477" s="1"/>
    </row>
    <row r="478" spans="5:9" ht="12.75" x14ac:dyDescent="0.2">
      <c r="E478" s="1"/>
      <c r="F478" s="1"/>
      <c r="G478" s="1"/>
      <c r="I478" s="1"/>
    </row>
    <row r="479" spans="5:9" ht="12.75" x14ac:dyDescent="0.2">
      <c r="E479" s="1"/>
      <c r="F479" s="1"/>
      <c r="G479" s="1"/>
      <c r="I479" s="1"/>
    </row>
    <row r="480" spans="5:9" ht="12.75" x14ac:dyDescent="0.2">
      <c r="E480" s="1"/>
      <c r="F480" s="1"/>
      <c r="G480" s="1"/>
      <c r="I480" s="1"/>
    </row>
    <row r="481" spans="5:9" ht="12.75" x14ac:dyDescent="0.2">
      <c r="E481" s="1"/>
      <c r="F481" s="1"/>
      <c r="G481" s="1"/>
      <c r="I481" s="1"/>
    </row>
    <row r="482" spans="5:9" ht="12.75" x14ac:dyDescent="0.2">
      <c r="E482" s="1"/>
      <c r="F482" s="1"/>
      <c r="G482" s="1"/>
      <c r="I482" s="1"/>
    </row>
    <row r="483" spans="5:9" ht="12.75" x14ac:dyDescent="0.2">
      <c r="E483" s="1"/>
      <c r="F483" s="1"/>
      <c r="G483" s="1"/>
      <c r="I483" s="1"/>
    </row>
    <row r="484" spans="5:9" ht="12.75" x14ac:dyDescent="0.2">
      <c r="E484" s="1"/>
      <c r="F484" s="1"/>
      <c r="G484" s="1"/>
      <c r="I484" s="1"/>
    </row>
    <row r="485" spans="5:9" ht="12.75" x14ac:dyDescent="0.2">
      <c r="E485" s="1"/>
      <c r="F485" s="1"/>
      <c r="G485" s="1"/>
      <c r="I485" s="1"/>
    </row>
    <row r="486" spans="5:9" ht="12.75" x14ac:dyDescent="0.2">
      <c r="E486" s="1"/>
      <c r="F486" s="1"/>
      <c r="G486" s="1"/>
      <c r="I486" s="1"/>
    </row>
    <row r="487" spans="5:9" ht="12.75" x14ac:dyDescent="0.2">
      <c r="E487" s="1"/>
      <c r="F487" s="1"/>
      <c r="G487" s="1"/>
      <c r="I487" s="1"/>
    </row>
    <row r="488" spans="5:9" ht="12.75" x14ac:dyDescent="0.2">
      <c r="E488" s="1"/>
      <c r="F488" s="1"/>
      <c r="G488" s="1"/>
      <c r="I488" s="1"/>
    </row>
    <row r="489" spans="5:9" ht="12.75" x14ac:dyDescent="0.2">
      <c r="E489" s="1"/>
      <c r="F489" s="1"/>
      <c r="G489" s="1"/>
      <c r="I489" s="1"/>
    </row>
    <row r="490" spans="5:9" ht="12.75" x14ac:dyDescent="0.2">
      <c r="E490" s="1"/>
      <c r="F490" s="1"/>
      <c r="G490" s="1"/>
      <c r="I490" s="1"/>
    </row>
    <row r="491" spans="5:9" ht="12.75" x14ac:dyDescent="0.2">
      <c r="E491" s="1"/>
      <c r="F491" s="1"/>
      <c r="G491" s="1"/>
      <c r="I491" s="1"/>
    </row>
    <row r="492" spans="5:9" ht="12.75" x14ac:dyDescent="0.2">
      <c r="E492" s="1"/>
      <c r="F492" s="1"/>
      <c r="G492" s="1"/>
      <c r="I492" s="1"/>
    </row>
    <row r="493" spans="5:9" ht="12.75" x14ac:dyDescent="0.2">
      <c r="E493" s="1"/>
      <c r="F493" s="1"/>
      <c r="G493" s="1"/>
      <c r="I493" s="1"/>
    </row>
    <row r="494" spans="5:9" ht="12.75" x14ac:dyDescent="0.2">
      <c r="E494" s="1"/>
      <c r="F494" s="1"/>
      <c r="G494" s="1"/>
      <c r="I494" s="1"/>
    </row>
    <row r="495" spans="5:9" ht="12.75" x14ac:dyDescent="0.2">
      <c r="E495" s="1"/>
      <c r="F495" s="1"/>
      <c r="G495" s="1"/>
      <c r="I495" s="1"/>
    </row>
    <row r="496" spans="5:9" ht="12.75" x14ac:dyDescent="0.2">
      <c r="E496" s="1"/>
      <c r="F496" s="1"/>
      <c r="G496" s="1"/>
      <c r="I496" s="1"/>
    </row>
    <row r="497" spans="5:9" ht="12.75" x14ac:dyDescent="0.2">
      <c r="E497" s="1"/>
      <c r="F497" s="1"/>
      <c r="G497" s="1"/>
      <c r="I497" s="1"/>
    </row>
    <row r="498" spans="5:9" ht="12.75" x14ac:dyDescent="0.2">
      <c r="E498" s="1"/>
      <c r="F498" s="1"/>
      <c r="G498" s="1"/>
      <c r="I498" s="1"/>
    </row>
    <row r="499" spans="5:9" ht="12.75" x14ac:dyDescent="0.2">
      <c r="E499" s="1"/>
      <c r="F499" s="1"/>
      <c r="G499" s="1"/>
      <c r="I499" s="1"/>
    </row>
    <row r="500" spans="5:9" ht="12.75" x14ac:dyDescent="0.2">
      <c r="E500" s="1"/>
      <c r="F500" s="1"/>
      <c r="G500" s="1"/>
      <c r="I500" s="1"/>
    </row>
    <row r="501" spans="5:9" ht="12.75" x14ac:dyDescent="0.2">
      <c r="E501" s="1"/>
      <c r="F501" s="1"/>
      <c r="G501" s="1"/>
      <c r="I501" s="1"/>
    </row>
    <row r="502" spans="5:9" ht="12.75" x14ac:dyDescent="0.2">
      <c r="E502" s="1"/>
      <c r="F502" s="1"/>
      <c r="G502" s="1"/>
      <c r="I502" s="1"/>
    </row>
    <row r="503" spans="5:9" ht="12.75" x14ac:dyDescent="0.2">
      <c r="E503" s="1"/>
      <c r="F503" s="1"/>
      <c r="G503" s="1"/>
      <c r="I503" s="1"/>
    </row>
    <row r="504" spans="5:9" ht="12.75" x14ac:dyDescent="0.2">
      <c r="E504" s="1"/>
      <c r="F504" s="1"/>
      <c r="G504" s="1"/>
      <c r="I504" s="1"/>
    </row>
    <row r="505" spans="5:9" ht="12.75" x14ac:dyDescent="0.2">
      <c r="E505" s="1"/>
      <c r="F505" s="1"/>
      <c r="G505" s="1"/>
      <c r="I505" s="1"/>
    </row>
    <row r="506" spans="5:9" ht="12.75" x14ac:dyDescent="0.2">
      <c r="E506" s="1"/>
      <c r="F506" s="1"/>
      <c r="G506" s="1"/>
      <c r="I506" s="1"/>
    </row>
    <row r="507" spans="5:9" ht="12.75" x14ac:dyDescent="0.2">
      <c r="E507" s="1"/>
      <c r="F507" s="1"/>
      <c r="G507" s="1"/>
      <c r="I507" s="1"/>
    </row>
    <row r="508" spans="5:9" ht="12.75" x14ac:dyDescent="0.2">
      <c r="E508" s="1"/>
      <c r="F508" s="1"/>
      <c r="G508" s="1"/>
      <c r="I508" s="1"/>
    </row>
    <row r="509" spans="5:9" ht="12.75" x14ac:dyDescent="0.2">
      <c r="E509" s="1"/>
      <c r="F509" s="1"/>
      <c r="G509" s="1"/>
      <c r="I509" s="1"/>
    </row>
    <row r="510" spans="5:9" ht="12.75" x14ac:dyDescent="0.2">
      <c r="E510" s="1"/>
      <c r="F510" s="1"/>
      <c r="G510" s="1"/>
      <c r="I510" s="1"/>
    </row>
    <row r="511" spans="5:9" ht="12.75" x14ac:dyDescent="0.2">
      <c r="E511" s="1"/>
      <c r="F511" s="1"/>
      <c r="G511" s="1"/>
      <c r="I511" s="1"/>
    </row>
    <row r="512" spans="5:9" ht="12.75" x14ac:dyDescent="0.2">
      <c r="E512" s="1"/>
      <c r="F512" s="1"/>
      <c r="G512" s="1"/>
      <c r="I512" s="1"/>
    </row>
    <row r="513" spans="5:9" ht="12.75" x14ac:dyDescent="0.2">
      <c r="E513" s="1"/>
      <c r="F513" s="1"/>
      <c r="G513" s="1"/>
      <c r="I513" s="1"/>
    </row>
    <row r="514" spans="5:9" ht="12.75" x14ac:dyDescent="0.2">
      <c r="E514" s="1"/>
      <c r="F514" s="1"/>
      <c r="G514" s="1"/>
      <c r="I514" s="1"/>
    </row>
    <row r="515" spans="5:9" ht="12.75" x14ac:dyDescent="0.2">
      <c r="E515" s="1"/>
      <c r="F515" s="1"/>
      <c r="G515" s="1"/>
      <c r="I515" s="1"/>
    </row>
    <row r="516" spans="5:9" ht="12.75" x14ac:dyDescent="0.2">
      <c r="E516" s="1"/>
      <c r="F516" s="1"/>
      <c r="G516" s="1"/>
      <c r="I516" s="1"/>
    </row>
    <row r="517" spans="5:9" ht="12.75" x14ac:dyDescent="0.2">
      <c r="E517" s="1"/>
      <c r="F517" s="1"/>
      <c r="G517" s="1"/>
      <c r="I517" s="1"/>
    </row>
    <row r="518" spans="5:9" ht="12.75" x14ac:dyDescent="0.2">
      <c r="E518" s="1"/>
      <c r="F518" s="1"/>
      <c r="G518" s="1"/>
      <c r="I518" s="1"/>
    </row>
    <row r="519" spans="5:9" ht="12.75" x14ac:dyDescent="0.2">
      <c r="E519" s="1"/>
      <c r="F519" s="1"/>
      <c r="G519" s="1"/>
      <c r="I519" s="1"/>
    </row>
    <row r="520" spans="5:9" ht="12.75" x14ac:dyDescent="0.2">
      <c r="E520" s="1"/>
      <c r="F520" s="1"/>
      <c r="G520" s="1"/>
      <c r="I520" s="1"/>
    </row>
    <row r="521" spans="5:9" ht="12.75" x14ac:dyDescent="0.2">
      <c r="E521" s="1"/>
      <c r="F521" s="1"/>
      <c r="G521" s="1"/>
      <c r="I521" s="1"/>
    </row>
    <row r="522" spans="5:9" ht="12.75" x14ac:dyDescent="0.2">
      <c r="E522" s="1"/>
      <c r="F522" s="1"/>
      <c r="G522" s="1"/>
      <c r="I522" s="1"/>
    </row>
    <row r="523" spans="5:9" ht="12.75" x14ac:dyDescent="0.2">
      <c r="E523" s="1"/>
      <c r="F523" s="1"/>
      <c r="G523" s="1"/>
      <c r="I523" s="1"/>
    </row>
    <row r="524" spans="5:9" ht="12.75" x14ac:dyDescent="0.2">
      <c r="E524" s="1"/>
      <c r="F524" s="1"/>
      <c r="G524" s="1"/>
      <c r="I524" s="1"/>
    </row>
    <row r="525" spans="5:9" ht="12.75" x14ac:dyDescent="0.2">
      <c r="E525" s="1"/>
      <c r="F525" s="1"/>
      <c r="G525" s="1"/>
      <c r="I525" s="1"/>
    </row>
    <row r="526" spans="5:9" ht="12.75" x14ac:dyDescent="0.2">
      <c r="E526" s="1"/>
      <c r="F526" s="1"/>
      <c r="G526" s="1"/>
      <c r="I526" s="1"/>
    </row>
    <row r="527" spans="5:9" ht="12.75" x14ac:dyDescent="0.2">
      <c r="E527" s="1"/>
      <c r="F527" s="1"/>
      <c r="G527" s="1"/>
      <c r="I527" s="1"/>
    </row>
    <row r="528" spans="5:9" ht="12.75" x14ac:dyDescent="0.2">
      <c r="E528" s="1"/>
      <c r="F528" s="1"/>
      <c r="G528" s="1"/>
      <c r="I528" s="1"/>
    </row>
    <row r="529" spans="5:9" ht="12.75" x14ac:dyDescent="0.2">
      <c r="E529" s="1"/>
      <c r="F529" s="1"/>
      <c r="G529" s="1"/>
      <c r="I529" s="1"/>
    </row>
    <row r="530" spans="5:9" ht="12.75" x14ac:dyDescent="0.2">
      <c r="E530" s="1"/>
      <c r="F530" s="1"/>
      <c r="G530" s="1"/>
      <c r="I530" s="1"/>
    </row>
    <row r="531" spans="5:9" ht="12.75" x14ac:dyDescent="0.2">
      <c r="E531" s="1"/>
      <c r="F531" s="1"/>
      <c r="G531" s="1"/>
      <c r="I531" s="1"/>
    </row>
    <row r="532" spans="5:9" ht="12.75" x14ac:dyDescent="0.2">
      <c r="E532" s="1"/>
      <c r="F532" s="1"/>
      <c r="G532" s="1"/>
      <c r="I532" s="1"/>
    </row>
    <row r="533" spans="5:9" ht="12.75" x14ac:dyDescent="0.2">
      <c r="E533" s="1"/>
      <c r="F533" s="1"/>
      <c r="G533" s="1"/>
      <c r="I533" s="1"/>
    </row>
    <row r="534" spans="5:9" ht="12.75" x14ac:dyDescent="0.2">
      <c r="E534" s="1"/>
      <c r="F534" s="1"/>
      <c r="G534" s="1"/>
      <c r="I534" s="1"/>
    </row>
    <row r="535" spans="5:9" ht="12.75" x14ac:dyDescent="0.2">
      <c r="E535" s="1"/>
      <c r="F535" s="1"/>
      <c r="G535" s="1"/>
      <c r="I535" s="1"/>
    </row>
    <row r="536" spans="5:9" ht="12.75" x14ac:dyDescent="0.2">
      <c r="E536" s="1"/>
      <c r="F536" s="1"/>
      <c r="G536" s="1"/>
      <c r="I536" s="1"/>
    </row>
    <row r="537" spans="5:9" ht="12.75" x14ac:dyDescent="0.2">
      <c r="E537" s="1"/>
      <c r="F537" s="1"/>
      <c r="G537" s="1"/>
      <c r="I537" s="1"/>
    </row>
    <row r="538" spans="5:9" ht="12.75" x14ac:dyDescent="0.2">
      <c r="E538" s="1"/>
      <c r="F538" s="1"/>
      <c r="G538" s="1"/>
      <c r="I538" s="1"/>
    </row>
    <row r="539" spans="5:9" ht="12.75" x14ac:dyDescent="0.2">
      <c r="E539" s="1"/>
      <c r="F539" s="1"/>
      <c r="G539" s="1"/>
      <c r="I539" s="1"/>
    </row>
    <row r="540" spans="5:9" ht="12.75" x14ac:dyDescent="0.2">
      <c r="E540" s="1"/>
      <c r="F540" s="1"/>
      <c r="G540" s="1"/>
      <c r="I540" s="1"/>
    </row>
    <row r="541" spans="5:9" ht="12.75" x14ac:dyDescent="0.2">
      <c r="E541" s="1"/>
      <c r="F541" s="1"/>
      <c r="G541" s="1"/>
      <c r="I541" s="1"/>
    </row>
    <row r="542" spans="5:9" ht="12.75" x14ac:dyDescent="0.2">
      <c r="E542" s="1"/>
      <c r="F542" s="1"/>
      <c r="G542" s="1"/>
      <c r="I542" s="1"/>
    </row>
    <row r="543" spans="5:9" ht="12.75" x14ac:dyDescent="0.2">
      <c r="E543" s="1"/>
      <c r="F543" s="1"/>
      <c r="G543" s="1"/>
      <c r="I543" s="1"/>
    </row>
    <row r="544" spans="5:9" ht="12.75" x14ac:dyDescent="0.2">
      <c r="E544" s="1"/>
      <c r="F544" s="1"/>
      <c r="G544" s="1"/>
      <c r="I544" s="1"/>
    </row>
    <row r="545" spans="5:9" ht="12.75" x14ac:dyDescent="0.2">
      <c r="E545" s="1"/>
      <c r="F545" s="1"/>
      <c r="G545" s="1"/>
      <c r="I545" s="1"/>
    </row>
    <row r="546" spans="5:9" ht="12.75" x14ac:dyDescent="0.2">
      <c r="E546" s="1"/>
      <c r="F546" s="1"/>
      <c r="G546" s="1"/>
      <c r="I546" s="1"/>
    </row>
    <row r="547" spans="5:9" ht="12.75" x14ac:dyDescent="0.2">
      <c r="E547" s="1"/>
      <c r="F547" s="1"/>
      <c r="G547" s="1"/>
      <c r="I547" s="1"/>
    </row>
    <row r="548" spans="5:9" ht="12.75" x14ac:dyDescent="0.2">
      <c r="E548" s="1"/>
      <c r="F548" s="1"/>
      <c r="G548" s="1"/>
      <c r="I548" s="1"/>
    </row>
    <row r="549" spans="5:9" ht="12.75" x14ac:dyDescent="0.2">
      <c r="E549" s="1"/>
      <c r="F549" s="1"/>
      <c r="G549" s="1"/>
      <c r="I549" s="1"/>
    </row>
    <row r="550" spans="5:9" ht="12.75" x14ac:dyDescent="0.2">
      <c r="E550" s="1"/>
      <c r="F550" s="1"/>
      <c r="G550" s="1"/>
      <c r="I550" s="1"/>
    </row>
    <row r="551" spans="5:9" ht="12.75" x14ac:dyDescent="0.2">
      <c r="E551" s="1"/>
      <c r="F551" s="1"/>
      <c r="G551" s="1"/>
      <c r="I551" s="1"/>
    </row>
    <row r="552" spans="5:9" ht="12.75" x14ac:dyDescent="0.2">
      <c r="E552" s="1"/>
      <c r="F552" s="1"/>
      <c r="G552" s="1"/>
      <c r="I552" s="1"/>
    </row>
    <row r="553" spans="5:9" ht="12.75" x14ac:dyDescent="0.2">
      <c r="E553" s="1"/>
      <c r="F553" s="1"/>
      <c r="G553" s="1"/>
      <c r="I553" s="1"/>
    </row>
    <row r="554" spans="5:9" ht="12.75" x14ac:dyDescent="0.2">
      <c r="E554" s="1"/>
      <c r="F554" s="1"/>
      <c r="G554" s="1"/>
      <c r="I554" s="1"/>
    </row>
    <row r="555" spans="5:9" ht="12.75" x14ac:dyDescent="0.2">
      <c r="E555" s="1"/>
      <c r="F555" s="1"/>
      <c r="G555" s="1"/>
      <c r="I555" s="1"/>
    </row>
    <row r="556" spans="5:9" ht="12.75" x14ac:dyDescent="0.2">
      <c r="E556" s="1"/>
      <c r="F556" s="1"/>
      <c r="G556" s="1"/>
      <c r="I556" s="1"/>
    </row>
    <row r="557" spans="5:9" ht="12.75" x14ac:dyDescent="0.2">
      <c r="E557" s="1"/>
      <c r="F557" s="1"/>
      <c r="G557" s="1"/>
      <c r="I557" s="1"/>
    </row>
    <row r="558" spans="5:9" ht="12.75" x14ac:dyDescent="0.2">
      <c r="E558" s="1"/>
      <c r="F558" s="1"/>
      <c r="G558" s="1"/>
      <c r="I558" s="1"/>
    </row>
    <row r="559" spans="5:9" ht="12.75" x14ac:dyDescent="0.2">
      <c r="E559" s="1"/>
      <c r="F559" s="1"/>
      <c r="G559" s="1"/>
      <c r="I559" s="1"/>
    </row>
    <row r="560" spans="5:9" ht="12.75" x14ac:dyDescent="0.2">
      <c r="E560" s="1"/>
      <c r="F560" s="1"/>
      <c r="G560" s="1"/>
      <c r="I560" s="1"/>
    </row>
    <row r="561" spans="5:9" ht="12.75" x14ac:dyDescent="0.2">
      <c r="E561" s="1"/>
      <c r="F561" s="1"/>
      <c r="G561" s="1"/>
      <c r="I561" s="1"/>
    </row>
    <row r="562" spans="5:9" ht="12.75" x14ac:dyDescent="0.2">
      <c r="E562" s="1"/>
      <c r="F562" s="1"/>
      <c r="G562" s="1"/>
      <c r="I562" s="1"/>
    </row>
    <row r="563" spans="5:9" ht="12.75" x14ac:dyDescent="0.2">
      <c r="E563" s="1"/>
      <c r="F563" s="1"/>
      <c r="G563" s="1"/>
      <c r="I563" s="1"/>
    </row>
    <row r="564" spans="5:9" ht="12.75" x14ac:dyDescent="0.2">
      <c r="E564" s="1"/>
      <c r="F564" s="1"/>
      <c r="G564" s="1"/>
      <c r="I564" s="1"/>
    </row>
    <row r="565" spans="5:9" ht="12.75" x14ac:dyDescent="0.2">
      <c r="E565" s="1"/>
      <c r="F565" s="1"/>
      <c r="G565" s="1"/>
      <c r="I565" s="1"/>
    </row>
    <row r="566" spans="5:9" ht="12.75" x14ac:dyDescent="0.2">
      <c r="E566" s="1"/>
      <c r="F566" s="1"/>
      <c r="G566" s="1"/>
      <c r="I566" s="1"/>
    </row>
    <row r="567" spans="5:9" ht="12.75" x14ac:dyDescent="0.2">
      <c r="E567" s="1"/>
      <c r="F567" s="1"/>
      <c r="G567" s="1"/>
      <c r="I567" s="1"/>
    </row>
    <row r="568" spans="5:9" ht="12.75" x14ac:dyDescent="0.2">
      <c r="E568" s="1"/>
      <c r="F568" s="1"/>
      <c r="G568" s="1"/>
      <c r="I568" s="1"/>
    </row>
    <row r="569" spans="5:9" ht="12.75" x14ac:dyDescent="0.2">
      <c r="E569" s="1"/>
      <c r="F569" s="1"/>
      <c r="G569" s="1"/>
      <c r="I569" s="1"/>
    </row>
    <row r="570" spans="5:9" ht="12.75" x14ac:dyDescent="0.2">
      <c r="E570" s="1"/>
      <c r="F570" s="1"/>
      <c r="G570" s="1"/>
      <c r="I570" s="1"/>
    </row>
    <row r="571" spans="5:9" ht="12.75" x14ac:dyDescent="0.2">
      <c r="E571" s="1"/>
      <c r="F571" s="1"/>
      <c r="G571" s="1"/>
      <c r="I571" s="1"/>
    </row>
    <row r="572" spans="5:9" ht="12.75" x14ac:dyDescent="0.2">
      <c r="E572" s="1"/>
      <c r="F572" s="1"/>
      <c r="G572" s="1"/>
      <c r="I572" s="1"/>
    </row>
    <row r="573" spans="5:9" ht="12.75" x14ac:dyDescent="0.2">
      <c r="E573" s="1"/>
      <c r="F573" s="1"/>
      <c r="G573" s="1"/>
      <c r="I573" s="1"/>
    </row>
    <row r="574" spans="5:9" ht="12.75" x14ac:dyDescent="0.2">
      <c r="E574" s="1"/>
      <c r="F574" s="1"/>
      <c r="G574" s="1"/>
      <c r="I574" s="1"/>
    </row>
    <row r="575" spans="5:9" ht="12.75" x14ac:dyDescent="0.2">
      <c r="E575" s="1"/>
      <c r="F575" s="1"/>
      <c r="G575" s="1"/>
      <c r="I575" s="1"/>
    </row>
    <row r="576" spans="5:9" ht="12.75" x14ac:dyDescent="0.2">
      <c r="E576" s="1"/>
      <c r="F576" s="1"/>
      <c r="G576" s="1"/>
      <c r="I576" s="1"/>
    </row>
    <row r="577" spans="5:9" ht="12.75" x14ac:dyDescent="0.2">
      <c r="E577" s="1"/>
      <c r="F577" s="1"/>
      <c r="G577" s="1"/>
      <c r="I577" s="1"/>
    </row>
    <row r="578" spans="5:9" ht="12.75" x14ac:dyDescent="0.2">
      <c r="E578" s="1"/>
      <c r="F578" s="1"/>
      <c r="G578" s="1"/>
      <c r="I578" s="1"/>
    </row>
    <row r="579" spans="5:9" ht="12.75" x14ac:dyDescent="0.2">
      <c r="E579" s="1"/>
      <c r="F579" s="1"/>
      <c r="G579" s="1"/>
      <c r="I579" s="1"/>
    </row>
    <row r="580" spans="5:9" ht="12.75" x14ac:dyDescent="0.2">
      <c r="E580" s="1"/>
      <c r="F580" s="1"/>
      <c r="G580" s="1"/>
      <c r="I580" s="1"/>
    </row>
    <row r="581" spans="5:9" ht="12.75" x14ac:dyDescent="0.2">
      <c r="E581" s="1"/>
      <c r="F581" s="1"/>
      <c r="G581" s="1"/>
      <c r="I581" s="1"/>
    </row>
    <row r="582" spans="5:9" ht="12.75" x14ac:dyDescent="0.2">
      <c r="E582" s="1"/>
      <c r="F582" s="1"/>
      <c r="G582" s="1"/>
      <c r="I582" s="1"/>
    </row>
    <row r="583" spans="5:9" ht="12.75" x14ac:dyDescent="0.2">
      <c r="E583" s="1"/>
      <c r="F583" s="1"/>
      <c r="G583" s="1"/>
      <c r="I583" s="1"/>
    </row>
    <row r="584" spans="5:9" ht="12.75" x14ac:dyDescent="0.2">
      <c r="E584" s="1"/>
      <c r="F584" s="1"/>
      <c r="G584" s="1"/>
      <c r="I584" s="1"/>
    </row>
    <row r="585" spans="5:9" ht="12.75" x14ac:dyDescent="0.2">
      <c r="E585" s="1"/>
      <c r="F585" s="1"/>
      <c r="G585" s="1"/>
      <c r="I585" s="1"/>
    </row>
    <row r="586" spans="5:9" ht="12.75" x14ac:dyDescent="0.2">
      <c r="E586" s="1"/>
      <c r="F586" s="1"/>
      <c r="G586" s="1"/>
      <c r="I586" s="1"/>
    </row>
    <row r="587" spans="5:9" ht="12.75" x14ac:dyDescent="0.2">
      <c r="E587" s="1"/>
      <c r="F587" s="1"/>
      <c r="G587" s="1"/>
      <c r="I587" s="1"/>
    </row>
    <row r="588" spans="5:9" ht="12.75" x14ac:dyDescent="0.2">
      <c r="E588" s="1"/>
      <c r="F588" s="1"/>
      <c r="G588" s="1"/>
      <c r="I588" s="1"/>
    </row>
    <row r="589" spans="5:9" ht="12.75" x14ac:dyDescent="0.2">
      <c r="E589" s="1"/>
      <c r="F589" s="1"/>
      <c r="G589" s="1"/>
      <c r="I589" s="1"/>
    </row>
    <row r="590" spans="5:9" ht="12.75" x14ac:dyDescent="0.2">
      <c r="E590" s="1"/>
      <c r="F590" s="1"/>
      <c r="G590" s="1"/>
      <c r="I590" s="1"/>
    </row>
    <row r="591" spans="5:9" ht="12.75" x14ac:dyDescent="0.2">
      <c r="E591" s="1"/>
      <c r="F591" s="1"/>
      <c r="G591" s="1"/>
      <c r="I591" s="1"/>
    </row>
    <row r="592" spans="5:9" ht="12.75" x14ac:dyDescent="0.2">
      <c r="E592" s="1"/>
      <c r="F592" s="1"/>
      <c r="G592" s="1"/>
      <c r="I592" s="1"/>
    </row>
    <row r="593" spans="5:9" ht="12.75" x14ac:dyDescent="0.2">
      <c r="E593" s="1"/>
      <c r="F593" s="1"/>
      <c r="G593" s="1"/>
      <c r="I593" s="1"/>
    </row>
    <row r="594" spans="5:9" ht="12.75" x14ac:dyDescent="0.2">
      <c r="E594" s="1"/>
      <c r="F594" s="1"/>
      <c r="G594" s="1"/>
      <c r="I594" s="1"/>
    </row>
    <row r="595" spans="5:9" ht="12.75" x14ac:dyDescent="0.2">
      <c r="E595" s="1"/>
      <c r="F595" s="1"/>
      <c r="G595" s="1"/>
      <c r="I595" s="1"/>
    </row>
    <row r="596" spans="5:9" ht="12.75" x14ac:dyDescent="0.2">
      <c r="E596" s="1"/>
      <c r="F596" s="1"/>
      <c r="G596" s="1"/>
      <c r="I596" s="1"/>
    </row>
    <row r="597" spans="5:9" ht="12.75" x14ac:dyDescent="0.2">
      <c r="E597" s="1"/>
      <c r="F597" s="1"/>
      <c r="G597" s="1"/>
      <c r="I597" s="1"/>
    </row>
    <row r="598" spans="5:9" ht="12.75" x14ac:dyDescent="0.2">
      <c r="E598" s="1"/>
      <c r="F598" s="1"/>
      <c r="G598" s="1"/>
      <c r="I598" s="1"/>
    </row>
    <row r="599" spans="5:9" ht="12.75" x14ac:dyDescent="0.2">
      <c r="E599" s="1"/>
      <c r="F599" s="1"/>
      <c r="G599" s="1"/>
      <c r="I599" s="1"/>
    </row>
    <row r="600" spans="5:9" ht="12.75" x14ac:dyDescent="0.2">
      <c r="E600" s="1"/>
      <c r="F600" s="1"/>
      <c r="G600" s="1"/>
      <c r="I600" s="1"/>
    </row>
    <row r="601" spans="5:9" ht="12.75" x14ac:dyDescent="0.2">
      <c r="E601" s="1"/>
      <c r="F601" s="1"/>
      <c r="G601" s="1"/>
      <c r="I601" s="1"/>
    </row>
    <row r="602" spans="5:9" ht="12.75" x14ac:dyDescent="0.2">
      <c r="E602" s="1"/>
      <c r="F602" s="1"/>
      <c r="G602" s="1"/>
      <c r="I602" s="1"/>
    </row>
    <row r="603" spans="5:9" ht="12.75" x14ac:dyDescent="0.2">
      <c r="E603" s="1"/>
      <c r="F603" s="1"/>
      <c r="G603" s="1"/>
      <c r="I603" s="1"/>
    </row>
    <row r="604" spans="5:9" ht="12.75" x14ac:dyDescent="0.2">
      <c r="E604" s="1"/>
      <c r="F604" s="1"/>
      <c r="G604" s="1"/>
      <c r="I604" s="1"/>
    </row>
    <row r="605" spans="5:9" ht="12.75" x14ac:dyDescent="0.2">
      <c r="E605" s="1"/>
      <c r="F605" s="1"/>
      <c r="G605" s="1"/>
      <c r="I605" s="1"/>
    </row>
    <row r="606" spans="5:9" ht="12.75" x14ac:dyDescent="0.2">
      <c r="E606" s="1"/>
      <c r="F606" s="1"/>
      <c r="G606" s="1"/>
      <c r="I606" s="1"/>
    </row>
    <row r="607" spans="5:9" ht="12.75" x14ac:dyDescent="0.2">
      <c r="E607" s="1"/>
      <c r="F607" s="1"/>
      <c r="G607" s="1"/>
      <c r="I607" s="1"/>
    </row>
    <row r="608" spans="5:9" ht="12.75" x14ac:dyDescent="0.2">
      <c r="E608" s="1"/>
      <c r="F608" s="1"/>
      <c r="G608" s="1"/>
      <c r="I608" s="1"/>
    </row>
    <row r="609" spans="5:9" ht="12.75" x14ac:dyDescent="0.2">
      <c r="E609" s="1"/>
      <c r="F609" s="1"/>
      <c r="G609" s="1"/>
      <c r="I609" s="1"/>
    </row>
    <row r="610" spans="5:9" ht="12.75" x14ac:dyDescent="0.2">
      <c r="E610" s="1"/>
      <c r="F610" s="1"/>
      <c r="G610" s="1"/>
      <c r="I610" s="1"/>
    </row>
    <row r="611" spans="5:9" ht="12.75" x14ac:dyDescent="0.2">
      <c r="E611" s="1"/>
      <c r="F611" s="1"/>
      <c r="G611" s="1"/>
      <c r="I611" s="1"/>
    </row>
    <row r="612" spans="5:9" ht="12.75" x14ac:dyDescent="0.2">
      <c r="E612" s="1"/>
      <c r="F612" s="1"/>
      <c r="G612" s="1"/>
      <c r="I612" s="1"/>
    </row>
    <row r="613" spans="5:9" ht="12.75" x14ac:dyDescent="0.2">
      <c r="E613" s="1"/>
      <c r="F613" s="1"/>
      <c r="G613" s="1"/>
      <c r="I613" s="1"/>
    </row>
    <row r="614" spans="5:9" ht="12.75" x14ac:dyDescent="0.2">
      <c r="E614" s="1"/>
      <c r="F614" s="1"/>
      <c r="G614" s="1"/>
      <c r="I614" s="1"/>
    </row>
    <row r="615" spans="5:9" ht="12.75" x14ac:dyDescent="0.2">
      <c r="E615" s="1"/>
      <c r="F615" s="1"/>
      <c r="G615" s="1"/>
      <c r="I615" s="1"/>
    </row>
    <row r="616" spans="5:9" ht="12.75" x14ac:dyDescent="0.2">
      <c r="E616" s="1"/>
      <c r="F616" s="1"/>
      <c r="G616" s="1"/>
      <c r="I616" s="1"/>
    </row>
    <row r="617" spans="5:9" ht="12.75" x14ac:dyDescent="0.2">
      <c r="E617" s="1"/>
      <c r="F617" s="1"/>
      <c r="G617" s="1"/>
      <c r="I617" s="1"/>
    </row>
    <row r="618" spans="5:9" ht="12.75" x14ac:dyDescent="0.2">
      <c r="E618" s="1"/>
      <c r="F618" s="1"/>
      <c r="G618" s="1"/>
      <c r="I618" s="1"/>
    </row>
    <row r="619" spans="5:9" ht="12.75" x14ac:dyDescent="0.2">
      <c r="E619" s="1"/>
      <c r="F619" s="1"/>
      <c r="G619" s="1"/>
      <c r="I619" s="1"/>
    </row>
    <row r="620" spans="5:9" ht="12.75" x14ac:dyDescent="0.2">
      <c r="E620" s="1"/>
      <c r="F620" s="1"/>
      <c r="G620" s="1"/>
      <c r="I620" s="1"/>
    </row>
    <row r="621" spans="5:9" ht="12.75" x14ac:dyDescent="0.2">
      <c r="E621" s="1"/>
      <c r="F621" s="1"/>
      <c r="G621" s="1"/>
      <c r="I621" s="1"/>
    </row>
    <row r="622" spans="5:9" ht="12.75" x14ac:dyDescent="0.2">
      <c r="E622" s="1"/>
      <c r="F622" s="1"/>
      <c r="G622" s="1"/>
      <c r="I622" s="1"/>
    </row>
    <row r="623" spans="5:9" ht="12.75" x14ac:dyDescent="0.2">
      <c r="E623" s="1"/>
      <c r="F623" s="1"/>
      <c r="G623" s="1"/>
      <c r="I623" s="1"/>
    </row>
    <row r="624" spans="5:9" ht="12.75" x14ac:dyDescent="0.2">
      <c r="E624" s="1"/>
      <c r="F624" s="1"/>
      <c r="G624" s="1"/>
      <c r="I624" s="1"/>
    </row>
    <row r="625" spans="5:9" ht="12.75" x14ac:dyDescent="0.2">
      <c r="E625" s="1"/>
      <c r="F625" s="1"/>
      <c r="G625" s="1"/>
      <c r="I625" s="1"/>
    </row>
    <row r="626" spans="5:9" ht="12.75" x14ac:dyDescent="0.2">
      <c r="E626" s="1"/>
      <c r="F626" s="1"/>
      <c r="G626" s="1"/>
      <c r="I626" s="1"/>
    </row>
    <row r="627" spans="5:9" ht="12.75" x14ac:dyDescent="0.2">
      <c r="E627" s="1"/>
      <c r="F627" s="1"/>
      <c r="G627" s="1"/>
      <c r="I627" s="1"/>
    </row>
    <row r="628" spans="5:9" ht="12.75" x14ac:dyDescent="0.2">
      <c r="E628" s="1"/>
      <c r="F628" s="1"/>
      <c r="G628" s="1"/>
      <c r="I628" s="1"/>
    </row>
    <row r="629" spans="5:9" ht="12.75" x14ac:dyDescent="0.2">
      <c r="E629" s="1"/>
      <c r="F629" s="1"/>
      <c r="G629" s="1"/>
      <c r="I629" s="1"/>
    </row>
    <row r="630" spans="5:9" ht="12.75" x14ac:dyDescent="0.2">
      <c r="E630" s="1"/>
      <c r="F630" s="1"/>
      <c r="G630" s="1"/>
      <c r="I630" s="1"/>
    </row>
    <row r="631" spans="5:9" ht="12.75" x14ac:dyDescent="0.2">
      <c r="E631" s="1"/>
      <c r="F631" s="1"/>
      <c r="G631" s="1"/>
      <c r="I631" s="1"/>
    </row>
    <row r="632" spans="5:9" ht="12.75" x14ac:dyDescent="0.2">
      <c r="E632" s="1"/>
      <c r="F632" s="1"/>
      <c r="G632" s="1"/>
      <c r="I632" s="1"/>
    </row>
    <row r="633" spans="5:9" ht="12.75" x14ac:dyDescent="0.2">
      <c r="E633" s="1"/>
      <c r="F633" s="1"/>
      <c r="G633" s="1"/>
      <c r="I633" s="1"/>
    </row>
    <row r="634" spans="5:9" ht="12.75" x14ac:dyDescent="0.2">
      <c r="E634" s="1"/>
      <c r="F634" s="1"/>
      <c r="G634" s="1"/>
      <c r="I634" s="1"/>
    </row>
    <row r="635" spans="5:9" ht="12.75" x14ac:dyDescent="0.2">
      <c r="E635" s="1"/>
      <c r="F635" s="1"/>
      <c r="G635" s="1"/>
      <c r="I635" s="1"/>
    </row>
    <row r="636" spans="5:9" ht="12.75" x14ac:dyDescent="0.2">
      <c r="E636" s="1"/>
      <c r="F636" s="1"/>
      <c r="G636" s="1"/>
      <c r="I636" s="1"/>
    </row>
    <row r="637" spans="5:9" ht="12.75" x14ac:dyDescent="0.2">
      <c r="E637" s="1"/>
      <c r="F637" s="1"/>
      <c r="G637" s="1"/>
      <c r="I637" s="1"/>
    </row>
    <row r="638" spans="5:9" ht="12.75" x14ac:dyDescent="0.2">
      <c r="E638" s="1"/>
      <c r="F638" s="1"/>
      <c r="G638" s="1"/>
      <c r="I638" s="1"/>
    </row>
    <row r="639" spans="5:9" ht="12.75" x14ac:dyDescent="0.2">
      <c r="E639" s="1"/>
      <c r="F639" s="1"/>
      <c r="G639" s="1"/>
      <c r="I639" s="1"/>
    </row>
    <row r="640" spans="5:9" ht="12.75" x14ac:dyDescent="0.2">
      <c r="E640" s="1"/>
      <c r="F640" s="1"/>
      <c r="G640" s="1"/>
      <c r="I640" s="1"/>
    </row>
    <row r="641" spans="5:9" ht="12.75" x14ac:dyDescent="0.2">
      <c r="E641" s="1"/>
      <c r="F641" s="1"/>
      <c r="G641" s="1"/>
      <c r="I641" s="1"/>
    </row>
    <row r="642" spans="5:9" ht="12.75" x14ac:dyDescent="0.2">
      <c r="E642" s="1"/>
      <c r="F642" s="1"/>
      <c r="G642" s="1"/>
      <c r="I642" s="1"/>
    </row>
    <row r="643" spans="5:9" ht="12.75" x14ac:dyDescent="0.2">
      <c r="E643" s="1"/>
      <c r="F643" s="1"/>
      <c r="G643" s="1"/>
      <c r="I643" s="1"/>
    </row>
    <row r="644" spans="5:9" ht="12.75" x14ac:dyDescent="0.2">
      <c r="E644" s="1"/>
      <c r="F644" s="1"/>
      <c r="G644" s="1"/>
      <c r="I644" s="1"/>
    </row>
    <row r="645" spans="5:9" ht="12.75" x14ac:dyDescent="0.2">
      <c r="E645" s="1"/>
      <c r="F645" s="1"/>
      <c r="G645" s="1"/>
      <c r="I645" s="1"/>
    </row>
    <row r="646" spans="5:9" ht="12.75" x14ac:dyDescent="0.2">
      <c r="E646" s="1"/>
      <c r="F646" s="1"/>
      <c r="G646" s="1"/>
      <c r="I646" s="1"/>
    </row>
    <row r="647" spans="5:9" ht="12.75" x14ac:dyDescent="0.2">
      <c r="E647" s="1"/>
      <c r="F647" s="1"/>
      <c r="G647" s="1"/>
      <c r="I647" s="1"/>
    </row>
    <row r="648" spans="5:9" ht="12.75" x14ac:dyDescent="0.2">
      <c r="E648" s="1"/>
      <c r="F648" s="1"/>
      <c r="G648" s="1"/>
      <c r="I648" s="1"/>
    </row>
    <row r="649" spans="5:9" ht="12.75" x14ac:dyDescent="0.2">
      <c r="E649" s="1"/>
      <c r="F649" s="1"/>
      <c r="G649" s="1"/>
      <c r="I649" s="1"/>
    </row>
    <row r="650" spans="5:9" ht="12.75" x14ac:dyDescent="0.2">
      <c r="E650" s="1"/>
      <c r="F650" s="1"/>
      <c r="G650" s="1"/>
      <c r="I650" s="1"/>
    </row>
    <row r="651" spans="5:9" ht="12.75" x14ac:dyDescent="0.2">
      <c r="E651" s="1"/>
      <c r="F651" s="1"/>
      <c r="G651" s="1"/>
      <c r="I651" s="1"/>
    </row>
    <row r="652" spans="5:9" ht="12.75" x14ac:dyDescent="0.2">
      <c r="E652" s="1"/>
      <c r="F652" s="1"/>
      <c r="G652" s="1"/>
      <c r="I652" s="1"/>
    </row>
    <row r="653" spans="5:9" ht="12.75" x14ac:dyDescent="0.2">
      <c r="E653" s="1"/>
      <c r="F653" s="1"/>
      <c r="G653" s="1"/>
      <c r="I653" s="1"/>
    </row>
    <row r="654" spans="5:9" ht="12.75" x14ac:dyDescent="0.2">
      <c r="E654" s="1"/>
      <c r="F654" s="1"/>
      <c r="G654" s="1"/>
      <c r="I654" s="1"/>
    </row>
    <row r="655" spans="5:9" ht="12.75" x14ac:dyDescent="0.2">
      <c r="E655" s="1"/>
      <c r="F655" s="1"/>
      <c r="G655" s="1"/>
      <c r="I655" s="1"/>
    </row>
    <row r="656" spans="5:9" ht="12.75" x14ac:dyDescent="0.2">
      <c r="E656" s="1"/>
      <c r="F656" s="1"/>
      <c r="G656" s="1"/>
      <c r="I656" s="1"/>
    </row>
    <row r="657" spans="5:9" ht="12.75" x14ac:dyDescent="0.2">
      <c r="E657" s="1"/>
      <c r="F657" s="1"/>
      <c r="G657" s="1"/>
      <c r="I657" s="1"/>
    </row>
    <row r="658" spans="5:9" ht="12.75" x14ac:dyDescent="0.2">
      <c r="E658" s="1"/>
      <c r="F658" s="1"/>
      <c r="G658" s="1"/>
      <c r="I658" s="1"/>
    </row>
    <row r="659" spans="5:9" ht="12.75" x14ac:dyDescent="0.2">
      <c r="E659" s="1"/>
      <c r="F659" s="1"/>
      <c r="G659" s="1"/>
      <c r="I659" s="1"/>
    </row>
    <row r="660" spans="5:9" ht="12.75" x14ac:dyDescent="0.2">
      <c r="E660" s="1"/>
      <c r="F660" s="1"/>
      <c r="G660" s="1"/>
      <c r="I660" s="1"/>
    </row>
    <row r="661" spans="5:9" ht="12.75" x14ac:dyDescent="0.2">
      <c r="E661" s="1"/>
      <c r="F661" s="1"/>
      <c r="G661" s="1"/>
      <c r="I661" s="1"/>
    </row>
    <row r="662" spans="5:9" ht="12.75" x14ac:dyDescent="0.2">
      <c r="E662" s="1"/>
      <c r="F662" s="1"/>
      <c r="G662" s="1"/>
      <c r="I662" s="1"/>
    </row>
    <row r="663" spans="5:9" ht="12.75" x14ac:dyDescent="0.2">
      <c r="E663" s="1"/>
      <c r="F663" s="1"/>
      <c r="G663" s="1"/>
      <c r="I663" s="1"/>
    </row>
    <row r="664" spans="5:9" ht="12.75" x14ac:dyDescent="0.2">
      <c r="E664" s="1"/>
      <c r="F664" s="1"/>
      <c r="G664" s="1"/>
      <c r="I664" s="1"/>
    </row>
    <row r="665" spans="5:9" ht="12.75" x14ac:dyDescent="0.2">
      <c r="E665" s="1"/>
      <c r="F665" s="1"/>
      <c r="G665" s="1"/>
      <c r="I665" s="1"/>
    </row>
    <row r="666" spans="5:9" ht="12.75" x14ac:dyDescent="0.2">
      <c r="E666" s="1"/>
      <c r="F666" s="1"/>
      <c r="G666" s="1"/>
      <c r="I666" s="1"/>
    </row>
    <row r="667" spans="5:9" ht="12.75" x14ac:dyDescent="0.2">
      <c r="E667" s="1"/>
      <c r="F667" s="1"/>
      <c r="G667" s="1"/>
      <c r="I667" s="1"/>
    </row>
    <row r="668" spans="5:9" ht="12.75" x14ac:dyDescent="0.2">
      <c r="E668" s="1"/>
      <c r="F668" s="1"/>
      <c r="G668" s="1"/>
      <c r="I668" s="1"/>
    </row>
    <row r="669" spans="5:9" ht="12.75" x14ac:dyDescent="0.2">
      <c r="E669" s="1"/>
      <c r="F669" s="1"/>
      <c r="G669" s="1"/>
      <c r="I669" s="1"/>
    </row>
    <row r="670" spans="5:9" ht="12.75" x14ac:dyDescent="0.2">
      <c r="E670" s="1"/>
      <c r="F670" s="1"/>
      <c r="G670" s="1"/>
      <c r="I670" s="1"/>
    </row>
    <row r="671" spans="5:9" ht="12.75" x14ac:dyDescent="0.2">
      <c r="E671" s="1"/>
      <c r="F671" s="1"/>
      <c r="G671" s="1"/>
      <c r="I671" s="1"/>
    </row>
    <row r="672" spans="5:9" ht="12.75" x14ac:dyDescent="0.2">
      <c r="E672" s="1"/>
      <c r="F672" s="1"/>
      <c r="G672" s="1"/>
      <c r="I672" s="1"/>
    </row>
    <row r="673" spans="5:9" ht="12.75" x14ac:dyDescent="0.2">
      <c r="E673" s="1"/>
      <c r="F673" s="1"/>
      <c r="G673" s="1"/>
      <c r="I673" s="1"/>
    </row>
    <row r="674" spans="5:9" ht="12.75" x14ac:dyDescent="0.2">
      <c r="E674" s="1"/>
      <c r="F674" s="1"/>
      <c r="G674" s="1"/>
      <c r="I674" s="1"/>
    </row>
    <row r="675" spans="5:9" ht="12.75" x14ac:dyDescent="0.2">
      <c r="E675" s="1"/>
      <c r="F675" s="1"/>
      <c r="G675" s="1"/>
      <c r="I675" s="1"/>
    </row>
    <row r="676" spans="5:9" ht="12.75" x14ac:dyDescent="0.2">
      <c r="E676" s="1"/>
      <c r="F676" s="1"/>
      <c r="G676" s="1"/>
      <c r="I676" s="1"/>
    </row>
    <row r="677" spans="5:9" ht="12.75" x14ac:dyDescent="0.2">
      <c r="E677" s="1"/>
      <c r="F677" s="1"/>
      <c r="G677" s="1"/>
      <c r="I677" s="1"/>
    </row>
    <row r="678" spans="5:9" ht="12.75" x14ac:dyDescent="0.2">
      <c r="E678" s="1"/>
      <c r="F678" s="1"/>
      <c r="G678" s="1"/>
      <c r="I678" s="1"/>
    </row>
    <row r="679" spans="5:9" ht="12.75" x14ac:dyDescent="0.2">
      <c r="E679" s="1"/>
      <c r="F679" s="1"/>
      <c r="G679" s="1"/>
      <c r="I679" s="1"/>
    </row>
    <row r="680" spans="5:9" ht="12.75" x14ac:dyDescent="0.2">
      <c r="E680" s="1"/>
      <c r="F680" s="1"/>
      <c r="G680" s="1"/>
      <c r="I680" s="1"/>
    </row>
    <row r="681" spans="5:9" ht="12.75" x14ac:dyDescent="0.2">
      <c r="E681" s="1"/>
      <c r="F681" s="1"/>
      <c r="G681" s="1"/>
      <c r="I681" s="1"/>
    </row>
    <row r="682" spans="5:9" ht="12.75" x14ac:dyDescent="0.2">
      <c r="E682" s="1"/>
      <c r="F682" s="1"/>
      <c r="G682" s="1"/>
      <c r="I682" s="1"/>
    </row>
    <row r="683" spans="5:9" ht="12.75" x14ac:dyDescent="0.2">
      <c r="E683" s="1"/>
      <c r="F683" s="1"/>
      <c r="G683" s="1"/>
      <c r="I683" s="1"/>
    </row>
    <row r="684" spans="5:9" ht="12.75" x14ac:dyDescent="0.2">
      <c r="E684" s="1"/>
      <c r="F684" s="1"/>
      <c r="G684" s="1"/>
      <c r="I684" s="1"/>
    </row>
    <row r="685" spans="5:9" ht="12.75" x14ac:dyDescent="0.2">
      <c r="E685" s="1"/>
      <c r="F685" s="1"/>
      <c r="G685" s="1"/>
      <c r="I685" s="1"/>
    </row>
    <row r="686" spans="5:9" ht="12.75" x14ac:dyDescent="0.2">
      <c r="E686" s="1"/>
      <c r="F686" s="1"/>
      <c r="G686" s="1"/>
      <c r="I686" s="1"/>
    </row>
    <row r="687" spans="5:9" ht="12.75" x14ac:dyDescent="0.2">
      <c r="E687" s="1"/>
      <c r="F687" s="1"/>
      <c r="G687" s="1"/>
      <c r="I687" s="1"/>
    </row>
    <row r="688" spans="5:9" ht="12.75" x14ac:dyDescent="0.2">
      <c r="E688" s="1"/>
      <c r="F688" s="1"/>
      <c r="G688" s="1"/>
      <c r="I688" s="1"/>
    </row>
    <row r="689" spans="5:9" ht="12.75" x14ac:dyDescent="0.2">
      <c r="E689" s="1"/>
      <c r="F689" s="1"/>
      <c r="G689" s="1"/>
      <c r="I689" s="1"/>
    </row>
    <row r="690" spans="5:9" ht="12.75" x14ac:dyDescent="0.2">
      <c r="E690" s="1"/>
      <c r="F690" s="1"/>
      <c r="G690" s="1"/>
      <c r="I690" s="1"/>
    </row>
    <row r="691" spans="5:9" ht="12.75" x14ac:dyDescent="0.2">
      <c r="E691" s="1"/>
      <c r="F691" s="1"/>
      <c r="G691" s="1"/>
      <c r="I691" s="1"/>
    </row>
    <row r="692" spans="5:9" ht="12.75" x14ac:dyDescent="0.2">
      <c r="E692" s="1"/>
      <c r="F692" s="1"/>
      <c r="G692" s="1"/>
      <c r="I692" s="1"/>
    </row>
    <row r="693" spans="5:9" ht="12.75" x14ac:dyDescent="0.2">
      <c r="E693" s="1"/>
      <c r="F693" s="1"/>
      <c r="G693" s="1"/>
      <c r="I693" s="1"/>
    </row>
    <row r="694" spans="5:9" ht="12.75" x14ac:dyDescent="0.2">
      <c r="E694" s="1"/>
      <c r="F694" s="1"/>
      <c r="G694" s="1"/>
      <c r="I694" s="1"/>
    </row>
    <row r="695" spans="5:9" ht="12.75" x14ac:dyDescent="0.2">
      <c r="E695" s="1"/>
      <c r="F695" s="1"/>
      <c r="G695" s="1"/>
      <c r="I695" s="1"/>
    </row>
    <row r="696" spans="5:9" ht="12.75" x14ac:dyDescent="0.2">
      <c r="E696" s="1"/>
      <c r="F696" s="1"/>
      <c r="G696" s="1"/>
      <c r="I696" s="1"/>
    </row>
    <row r="697" spans="5:9" ht="12.75" x14ac:dyDescent="0.2">
      <c r="E697" s="1"/>
      <c r="F697" s="1"/>
      <c r="G697" s="1"/>
      <c r="I697" s="1"/>
    </row>
    <row r="698" spans="5:9" ht="12.75" x14ac:dyDescent="0.2">
      <c r="E698" s="1"/>
      <c r="F698" s="1"/>
      <c r="G698" s="1"/>
      <c r="I698" s="1"/>
    </row>
    <row r="699" spans="5:9" ht="12.75" x14ac:dyDescent="0.2">
      <c r="E699" s="1"/>
      <c r="F699" s="1"/>
      <c r="G699" s="1"/>
      <c r="I699" s="1"/>
    </row>
    <row r="700" spans="5:9" ht="12.75" x14ac:dyDescent="0.2">
      <c r="E700" s="1"/>
      <c r="F700" s="1"/>
      <c r="G700" s="1"/>
      <c r="I700" s="1"/>
    </row>
    <row r="701" spans="5:9" ht="12.75" x14ac:dyDescent="0.2">
      <c r="E701" s="1"/>
      <c r="F701" s="1"/>
      <c r="G701" s="1"/>
      <c r="I701" s="1"/>
    </row>
    <row r="702" spans="5:9" ht="12.75" x14ac:dyDescent="0.2">
      <c r="E702" s="1"/>
      <c r="F702" s="1"/>
      <c r="G702" s="1"/>
      <c r="I702" s="1"/>
    </row>
    <row r="703" spans="5:9" ht="12.75" x14ac:dyDescent="0.2">
      <c r="E703" s="1"/>
      <c r="F703" s="1"/>
      <c r="G703" s="1"/>
      <c r="I703" s="1"/>
    </row>
    <row r="704" spans="5:9" ht="12.75" x14ac:dyDescent="0.2">
      <c r="E704" s="1"/>
      <c r="F704" s="1"/>
      <c r="G704" s="1"/>
      <c r="I704" s="1"/>
    </row>
    <row r="705" spans="5:9" ht="12.75" x14ac:dyDescent="0.2">
      <c r="E705" s="1"/>
      <c r="F705" s="1"/>
      <c r="G705" s="1"/>
      <c r="I705" s="1"/>
    </row>
    <row r="706" spans="5:9" ht="12.75" x14ac:dyDescent="0.2">
      <c r="E706" s="1"/>
      <c r="F706" s="1"/>
      <c r="G706" s="1"/>
      <c r="I706" s="1"/>
    </row>
    <row r="707" spans="5:9" ht="12.75" x14ac:dyDescent="0.2">
      <c r="E707" s="1"/>
      <c r="F707" s="1"/>
      <c r="G707" s="1"/>
      <c r="I707" s="1"/>
    </row>
    <row r="708" spans="5:9" ht="12.75" x14ac:dyDescent="0.2">
      <c r="E708" s="1"/>
      <c r="F708" s="1"/>
      <c r="G708" s="1"/>
      <c r="I708" s="1"/>
    </row>
    <row r="709" spans="5:9" ht="12.75" x14ac:dyDescent="0.2">
      <c r="E709" s="1"/>
      <c r="F709" s="1"/>
      <c r="G709" s="1"/>
      <c r="I709" s="1"/>
    </row>
    <row r="710" spans="5:9" ht="12.75" x14ac:dyDescent="0.2">
      <c r="E710" s="1"/>
      <c r="F710" s="1"/>
      <c r="G710" s="1"/>
      <c r="I710" s="1"/>
    </row>
    <row r="711" spans="5:9" ht="12.75" x14ac:dyDescent="0.2">
      <c r="E711" s="1"/>
      <c r="F711" s="1"/>
      <c r="G711" s="1"/>
      <c r="I711" s="1"/>
    </row>
    <row r="712" spans="5:9" ht="12.75" x14ac:dyDescent="0.2">
      <c r="E712" s="1"/>
      <c r="F712" s="1"/>
      <c r="G712" s="1"/>
      <c r="I712" s="1"/>
    </row>
    <row r="713" spans="5:9" ht="12.75" x14ac:dyDescent="0.2">
      <c r="E713" s="1"/>
      <c r="F713" s="1"/>
      <c r="G713" s="1"/>
      <c r="I713" s="1"/>
    </row>
    <row r="714" spans="5:9" ht="12.75" x14ac:dyDescent="0.2">
      <c r="E714" s="1"/>
      <c r="F714" s="1"/>
      <c r="G714" s="1"/>
      <c r="I714" s="1"/>
    </row>
    <row r="715" spans="5:9" ht="12.75" x14ac:dyDescent="0.2">
      <c r="E715" s="1"/>
      <c r="F715" s="1"/>
      <c r="G715" s="1"/>
      <c r="I715" s="1"/>
    </row>
    <row r="716" spans="5:9" ht="12.75" x14ac:dyDescent="0.2">
      <c r="E716" s="1"/>
      <c r="F716" s="1"/>
      <c r="G716" s="1"/>
      <c r="I716" s="1"/>
    </row>
    <row r="717" spans="5:9" ht="12.75" x14ac:dyDescent="0.2">
      <c r="E717" s="1"/>
      <c r="F717" s="1"/>
      <c r="G717" s="1"/>
      <c r="I717" s="1"/>
    </row>
    <row r="718" spans="5:9" ht="12.75" x14ac:dyDescent="0.2">
      <c r="E718" s="1"/>
      <c r="F718" s="1"/>
      <c r="G718" s="1"/>
      <c r="I718" s="1"/>
    </row>
    <row r="719" spans="5:9" ht="12.75" x14ac:dyDescent="0.2">
      <c r="E719" s="1"/>
      <c r="F719" s="1"/>
      <c r="G719" s="1"/>
      <c r="I719" s="1"/>
    </row>
    <row r="720" spans="5:9" ht="12.75" x14ac:dyDescent="0.2">
      <c r="E720" s="1"/>
      <c r="F720" s="1"/>
      <c r="G720" s="1"/>
      <c r="I720" s="1"/>
    </row>
    <row r="721" spans="5:9" ht="12.75" x14ac:dyDescent="0.2">
      <c r="E721" s="1"/>
      <c r="F721" s="1"/>
      <c r="G721" s="1"/>
      <c r="I721" s="1"/>
    </row>
    <row r="722" spans="5:9" ht="12.75" x14ac:dyDescent="0.2">
      <c r="E722" s="1"/>
      <c r="F722" s="1"/>
      <c r="G722" s="1"/>
      <c r="I722" s="1"/>
    </row>
    <row r="723" spans="5:9" ht="12.75" x14ac:dyDescent="0.2">
      <c r="E723" s="1"/>
      <c r="F723" s="1"/>
      <c r="G723" s="1"/>
      <c r="I723" s="1"/>
    </row>
    <row r="724" spans="5:9" ht="12.75" x14ac:dyDescent="0.2">
      <c r="E724" s="1"/>
      <c r="F724" s="1"/>
      <c r="G724" s="1"/>
      <c r="I724" s="1"/>
    </row>
    <row r="725" spans="5:9" ht="12.75" x14ac:dyDescent="0.2">
      <c r="E725" s="1"/>
      <c r="F725" s="1"/>
      <c r="G725" s="1"/>
      <c r="I725" s="1"/>
    </row>
    <row r="726" spans="5:9" ht="12.75" x14ac:dyDescent="0.2">
      <c r="E726" s="1"/>
      <c r="F726" s="1"/>
      <c r="G726" s="1"/>
      <c r="I726" s="1"/>
    </row>
    <row r="727" spans="5:9" ht="12.75" x14ac:dyDescent="0.2">
      <c r="E727" s="1"/>
      <c r="F727" s="1"/>
      <c r="G727" s="1"/>
      <c r="I727" s="1"/>
    </row>
    <row r="728" spans="5:9" ht="12.75" x14ac:dyDescent="0.2">
      <c r="E728" s="1"/>
      <c r="F728" s="1"/>
      <c r="G728" s="1"/>
      <c r="I728" s="1"/>
    </row>
    <row r="729" spans="5:9" ht="12.75" x14ac:dyDescent="0.2">
      <c r="E729" s="1"/>
      <c r="F729" s="1"/>
      <c r="G729" s="1"/>
      <c r="I729" s="1"/>
    </row>
    <row r="730" spans="5:9" ht="12.75" x14ac:dyDescent="0.2">
      <c r="E730" s="1"/>
      <c r="F730" s="1"/>
      <c r="G730" s="1"/>
      <c r="I730" s="1"/>
    </row>
    <row r="731" spans="5:9" ht="12.75" x14ac:dyDescent="0.2">
      <c r="E731" s="1"/>
      <c r="F731" s="1"/>
      <c r="G731" s="1"/>
      <c r="I731" s="1"/>
    </row>
    <row r="732" spans="5:9" ht="12.75" x14ac:dyDescent="0.2">
      <c r="E732" s="1"/>
      <c r="F732" s="1"/>
      <c r="G732" s="1"/>
      <c r="I732" s="1"/>
    </row>
    <row r="733" spans="5:9" ht="12.75" x14ac:dyDescent="0.2">
      <c r="E733" s="1"/>
      <c r="F733" s="1"/>
      <c r="G733" s="1"/>
      <c r="I733" s="1"/>
    </row>
    <row r="734" spans="5:9" ht="12.75" x14ac:dyDescent="0.2">
      <c r="E734" s="1"/>
      <c r="F734" s="1"/>
      <c r="G734" s="1"/>
      <c r="I734" s="1"/>
    </row>
    <row r="735" spans="5:9" ht="12.75" x14ac:dyDescent="0.2">
      <c r="E735" s="1"/>
      <c r="F735" s="1"/>
      <c r="G735" s="1"/>
      <c r="I735" s="1"/>
    </row>
    <row r="736" spans="5:9" ht="12.75" x14ac:dyDescent="0.2">
      <c r="E736" s="1"/>
      <c r="F736" s="1"/>
      <c r="G736" s="1"/>
      <c r="I736" s="1"/>
    </row>
    <row r="737" spans="5:9" ht="12.75" x14ac:dyDescent="0.2">
      <c r="E737" s="1"/>
      <c r="F737" s="1"/>
      <c r="G737" s="1"/>
      <c r="I737" s="1"/>
    </row>
    <row r="738" spans="5:9" ht="12.75" x14ac:dyDescent="0.2">
      <c r="E738" s="1"/>
      <c r="F738" s="1"/>
      <c r="G738" s="1"/>
      <c r="I738" s="1"/>
    </row>
    <row r="739" spans="5:9" ht="12.75" x14ac:dyDescent="0.2">
      <c r="E739" s="1"/>
      <c r="F739" s="1"/>
      <c r="G739" s="1"/>
      <c r="I739" s="1"/>
    </row>
    <row r="740" spans="5:9" ht="12.75" x14ac:dyDescent="0.2">
      <c r="E740" s="1"/>
      <c r="F740" s="1"/>
      <c r="G740" s="1"/>
      <c r="I740" s="1"/>
    </row>
    <row r="741" spans="5:9" ht="12.75" x14ac:dyDescent="0.2">
      <c r="E741" s="1"/>
      <c r="F741" s="1"/>
      <c r="G741" s="1"/>
      <c r="I741" s="1"/>
    </row>
    <row r="742" spans="5:9" ht="12.75" x14ac:dyDescent="0.2">
      <c r="E742" s="1"/>
      <c r="F742" s="1"/>
      <c r="G742" s="1"/>
      <c r="I742" s="1"/>
    </row>
    <row r="743" spans="5:9" ht="12.75" x14ac:dyDescent="0.2">
      <c r="E743" s="1"/>
      <c r="F743" s="1"/>
      <c r="G743" s="1"/>
      <c r="I743" s="1"/>
    </row>
    <row r="744" spans="5:9" ht="12.75" x14ac:dyDescent="0.2">
      <c r="E744" s="1"/>
      <c r="F744" s="1"/>
      <c r="G744" s="1"/>
      <c r="I744" s="1"/>
    </row>
    <row r="745" spans="5:9" ht="12.75" x14ac:dyDescent="0.2">
      <c r="E745" s="1"/>
      <c r="F745" s="1"/>
      <c r="G745" s="1"/>
      <c r="I745" s="1"/>
    </row>
    <row r="746" spans="5:9" ht="12.75" x14ac:dyDescent="0.2">
      <c r="E746" s="1"/>
      <c r="F746" s="1"/>
      <c r="G746" s="1"/>
      <c r="I746" s="1"/>
    </row>
    <row r="747" spans="5:9" ht="12.75" x14ac:dyDescent="0.2">
      <c r="E747" s="1"/>
      <c r="F747" s="1"/>
      <c r="G747" s="1"/>
      <c r="I747" s="1"/>
    </row>
    <row r="748" spans="5:9" ht="12.75" x14ac:dyDescent="0.2">
      <c r="E748" s="1"/>
      <c r="F748" s="1"/>
      <c r="G748" s="1"/>
      <c r="I748" s="1"/>
    </row>
    <row r="749" spans="5:9" ht="12.75" x14ac:dyDescent="0.2">
      <c r="E749" s="1"/>
      <c r="F749" s="1"/>
      <c r="G749" s="1"/>
      <c r="I749" s="1"/>
    </row>
    <row r="750" spans="5:9" ht="12.75" x14ac:dyDescent="0.2">
      <c r="E750" s="1"/>
      <c r="F750" s="1"/>
      <c r="G750" s="1"/>
      <c r="I750" s="1"/>
    </row>
    <row r="751" spans="5:9" ht="12.75" x14ac:dyDescent="0.2">
      <c r="E751" s="1"/>
      <c r="F751" s="1"/>
      <c r="G751" s="1"/>
      <c r="I751" s="1"/>
    </row>
    <row r="752" spans="5:9" ht="12.75" x14ac:dyDescent="0.2">
      <c r="E752" s="1"/>
      <c r="F752" s="1"/>
      <c r="G752" s="1"/>
      <c r="I752" s="1"/>
    </row>
    <row r="753" spans="5:9" ht="12.75" x14ac:dyDescent="0.2">
      <c r="E753" s="1"/>
      <c r="F753" s="1"/>
      <c r="G753" s="1"/>
      <c r="I753" s="1"/>
    </row>
    <row r="754" spans="5:9" ht="12.75" x14ac:dyDescent="0.2">
      <c r="E754" s="1"/>
      <c r="F754" s="1"/>
      <c r="G754" s="1"/>
      <c r="I754" s="1"/>
    </row>
    <row r="755" spans="5:9" ht="12.75" x14ac:dyDescent="0.2">
      <c r="E755" s="1"/>
      <c r="F755" s="1"/>
      <c r="G755" s="1"/>
      <c r="I755" s="1"/>
    </row>
    <row r="756" spans="5:9" ht="12.75" x14ac:dyDescent="0.2">
      <c r="E756" s="1"/>
      <c r="F756" s="1"/>
      <c r="G756" s="1"/>
      <c r="I756" s="1"/>
    </row>
    <row r="757" spans="5:9" ht="12.75" x14ac:dyDescent="0.2">
      <c r="E757" s="1"/>
      <c r="F757" s="1"/>
      <c r="G757" s="1"/>
      <c r="I757" s="1"/>
    </row>
    <row r="758" spans="5:9" ht="12.75" x14ac:dyDescent="0.2">
      <c r="E758" s="1"/>
      <c r="F758" s="1"/>
      <c r="G758" s="1"/>
      <c r="I758" s="1"/>
    </row>
    <row r="759" spans="5:9" ht="12.75" x14ac:dyDescent="0.2">
      <c r="E759" s="1"/>
      <c r="F759" s="1"/>
      <c r="G759" s="1"/>
      <c r="I759" s="1"/>
    </row>
    <row r="760" spans="5:9" ht="12.75" x14ac:dyDescent="0.2">
      <c r="E760" s="1"/>
      <c r="F760" s="1"/>
      <c r="G760" s="1"/>
      <c r="I760" s="1"/>
    </row>
    <row r="761" spans="5:9" ht="12.75" x14ac:dyDescent="0.2">
      <c r="E761" s="1"/>
      <c r="F761" s="1"/>
      <c r="G761" s="1"/>
      <c r="I761" s="1"/>
    </row>
    <row r="762" spans="5:9" ht="12.75" x14ac:dyDescent="0.2">
      <c r="E762" s="1"/>
      <c r="F762" s="1"/>
      <c r="G762" s="1"/>
      <c r="I762" s="1"/>
    </row>
    <row r="763" spans="5:9" ht="12.75" x14ac:dyDescent="0.2">
      <c r="E763" s="1"/>
      <c r="F763" s="1"/>
      <c r="G763" s="1"/>
      <c r="I763" s="1"/>
    </row>
    <row r="764" spans="5:9" ht="12.75" x14ac:dyDescent="0.2">
      <c r="E764" s="1"/>
      <c r="F764" s="1"/>
      <c r="G764" s="1"/>
      <c r="I764" s="1"/>
    </row>
    <row r="765" spans="5:9" ht="12.75" x14ac:dyDescent="0.2">
      <c r="E765" s="1"/>
      <c r="F765" s="1"/>
      <c r="G765" s="1"/>
      <c r="I765" s="1"/>
    </row>
    <row r="766" spans="5:9" ht="12.75" x14ac:dyDescent="0.2">
      <c r="E766" s="1"/>
      <c r="F766" s="1"/>
      <c r="G766" s="1"/>
      <c r="I766" s="1"/>
    </row>
    <row r="767" spans="5:9" ht="12.75" x14ac:dyDescent="0.2">
      <c r="E767" s="1"/>
      <c r="F767" s="1"/>
      <c r="G767" s="1"/>
      <c r="I767" s="1"/>
    </row>
    <row r="768" spans="5:9" ht="12.75" x14ac:dyDescent="0.2">
      <c r="E768" s="1"/>
      <c r="F768" s="1"/>
      <c r="G768" s="1"/>
      <c r="I768" s="1"/>
    </row>
    <row r="769" spans="5:9" ht="12.75" x14ac:dyDescent="0.2">
      <c r="E769" s="1"/>
      <c r="F769" s="1"/>
      <c r="G769" s="1"/>
      <c r="I769" s="1"/>
    </row>
    <row r="770" spans="5:9" ht="12.75" x14ac:dyDescent="0.2">
      <c r="E770" s="1"/>
      <c r="F770" s="1"/>
      <c r="G770" s="1"/>
      <c r="I770" s="1"/>
    </row>
    <row r="771" spans="5:9" ht="12.75" x14ac:dyDescent="0.2">
      <c r="E771" s="1"/>
      <c r="F771" s="1"/>
      <c r="G771" s="1"/>
      <c r="I771" s="1"/>
    </row>
    <row r="772" spans="5:9" ht="12.75" x14ac:dyDescent="0.2">
      <c r="E772" s="1"/>
      <c r="F772" s="1"/>
      <c r="G772" s="1"/>
      <c r="I772" s="1"/>
    </row>
    <row r="773" spans="5:9" ht="12.75" x14ac:dyDescent="0.2">
      <c r="E773" s="1"/>
      <c r="F773" s="1"/>
      <c r="G773" s="1"/>
      <c r="I773" s="1"/>
    </row>
    <row r="774" spans="5:9" ht="12.75" x14ac:dyDescent="0.2">
      <c r="E774" s="1"/>
      <c r="F774" s="1"/>
      <c r="G774" s="1"/>
      <c r="I774" s="1"/>
    </row>
    <row r="775" spans="5:9" ht="12.75" x14ac:dyDescent="0.2">
      <c r="E775" s="1"/>
      <c r="F775" s="1"/>
      <c r="G775" s="1"/>
      <c r="I775" s="1"/>
    </row>
    <row r="776" spans="5:9" ht="12.75" x14ac:dyDescent="0.2">
      <c r="E776" s="1"/>
      <c r="F776" s="1"/>
      <c r="G776" s="1"/>
      <c r="I776" s="1"/>
    </row>
    <row r="777" spans="5:9" ht="12.75" x14ac:dyDescent="0.2">
      <c r="E777" s="1"/>
      <c r="F777" s="1"/>
      <c r="G777" s="1"/>
      <c r="I777" s="1"/>
    </row>
    <row r="778" spans="5:9" ht="12.75" x14ac:dyDescent="0.2">
      <c r="E778" s="1"/>
      <c r="F778" s="1"/>
      <c r="G778" s="1"/>
      <c r="I778" s="1"/>
    </row>
    <row r="779" spans="5:9" ht="12.75" x14ac:dyDescent="0.2">
      <c r="E779" s="1"/>
      <c r="F779" s="1"/>
      <c r="G779" s="1"/>
      <c r="I779" s="1"/>
    </row>
    <row r="780" spans="5:9" ht="12.75" x14ac:dyDescent="0.2">
      <c r="E780" s="1"/>
      <c r="F780" s="1"/>
      <c r="G780" s="1"/>
      <c r="I780" s="1"/>
    </row>
    <row r="781" spans="5:9" ht="12.75" x14ac:dyDescent="0.2">
      <c r="E781" s="1"/>
      <c r="F781" s="1"/>
      <c r="G781" s="1"/>
      <c r="I781" s="1"/>
    </row>
    <row r="782" spans="5:9" ht="12.75" x14ac:dyDescent="0.2">
      <c r="E782" s="1"/>
      <c r="F782" s="1"/>
      <c r="G782" s="1"/>
      <c r="I782" s="1"/>
    </row>
    <row r="783" spans="5:9" ht="12.75" x14ac:dyDescent="0.2">
      <c r="E783" s="1"/>
      <c r="F783" s="1"/>
      <c r="G783" s="1"/>
      <c r="I783" s="1"/>
    </row>
    <row r="784" spans="5:9" ht="12.75" x14ac:dyDescent="0.2">
      <c r="E784" s="1"/>
      <c r="F784" s="1"/>
      <c r="G784" s="1"/>
      <c r="I784" s="1"/>
    </row>
    <row r="785" spans="5:9" ht="12.75" x14ac:dyDescent="0.2">
      <c r="E785" s="1"/>
      <c r="F785" s="1"/>
      <c r="G785" s="1"/>
      <c r="I785" s="1"/>
    </row>
    <row r="786" spans="5:9" ht="12.75" x14ac:dyDescent="0.2">
      <c r="E786" s="1"/>
      <c r="F786" s="1"/>
      <c r="G786" s="1"/>
      <c r="I786" s="1"/>
    </row>
    <row r="787" spans="5:9" ht="12.75" x14ac:dyDescent="0.2">
      <c r="E787" s="1"/>
      <c r="F787" s="1"/>
      <c r="G787" s="1"/>
      <c r="I787" s="1"/>
    </row>
    <row r="788" spans="5:9" ht="12.75" x14ac:dyDescent="0.2">
      <c r="E788" s="1"/>
      <c r="F788" s="1"/>
      <c r="G788" s="1"/>
      <c r="I788" s="1"/>
    </row>
    <row r="789" spans="5:9" ht="12.75" x14ac:dyDescent="0.2">
      <c r="E789" s="1"/>
      <c r="F789" s="1"/>
      <c r="G789" s="1"/>
      <c r="I789" s="1"/>
    </row>
    <row r="790" spans="5:9" ht="12.75" x14ac:dyDescent="0.2">
      <c r="E790" s="1"/>
      <c r="F790" s="1"/>
      <c r="G790" s="1"/>
      <c r="I790" s="1"/>
    </row>
    <row r="791" spans="5:9" ht="12.75" x14ac:dyDescent="0.2">
      <c r="E791" s="1"/>
      <c r="F791" s="1"/>
      <c r="G791" s="1"/>
      <c r="I791" s="1"/>
    </row>
    <row r="792" spans="5:9" ht="12.75" x14ac:dyDescent="0.2">
      <c r="E792" s="1"/>
      <c r="F792" s="1"/>
      <c r="G792" s="1"/>
      <c r="I792" s="1"/>
    </row>
    <row r="793" spans="5:9" ht="12.75" x14ac:dyDescent="0.2">
      <c r="E793" s="1"/>
      <c r="F793" s="1"/>
      <c r="G793" s="1"/>
      <c r="I793" s="1"/>
    </row>
    <row r="794" spans="5:9" ht="12.75" x14ac:dyDescent="0.2">
      <c r="E794" s="1"/>
      <c r="F794" s="1"/>
      <c r="G794" s="1"/>
      <c r="I794" s="1"/>
    </row>
    <row r="795" spans="5:9" ht="12.75" x14ac:dyDescent="0.2">
      <c r="E795" s="1"/>
      <c r="F795" s="1"/>
      <c r="G795" s="1"/>
      <c r="I795" s="1"/>
    </row>
    <row r="796" spans="5:9" ht="12.75" x14ac:dyDescent="0.2">
      <c r="E796" s="1"/>
      <c r="F796" s="1"/>
      <c r="G796" s="1"/>
      <c r="I796" s="1"/>
    </row>
    <row r="797" spans="5:9" ht="12.75" x14ac:dyDescent="0.2">
      <c r="E797" s="1"/>
      <c r="F797" s="1"/>
      <c r="G797" s="1"/>
      <c r="I797" s="1"/>
    </row>
    <row r="798" spans="5:9" ht="12.75" x14ac:dyDescent="0.2">
      <c r="E798" s="1"/>
      <c r="F798" s="1"/>
      <c r="G798" s="1"/>
      <c r="I798" s="1"/>
    </row>
    <row r="799" spans="5:9" ht="12.75" x14ac:dyDescent="0.2">
      <c r="E799" s="1"/>
      <c r="F799" s="1"/>
      <c r="G799" s="1"/>
      <c r="I799" s="1"/>
    </row>
    <row r="800" spans="5:9" ht="12.75" x14ac:dyDescent="0.2">
      <c r="E800" s="1"/>
      <c r="F800" s="1"/>
      <c r="G800" s="1"/>
      <c r="I800" s="1"/>
    </row>
    <row r="801" spans="5:9" ht="12.75" x14ac:dyDescent="0.2">
      <c r="E801" s="1"/>
      <c r="F801" s="1"/>
      <c r="G801" s="1"/>
      <c r="I801" s="1"/>
    </row>
    <row r="802" spans="5:9" ht="12.75" x14ac:dyDescent="0.2">
      <c r="E802" s="1"/>
      <c r="F802" s="1"/>
      <c r="G802" s="1"/>
      <c r="I802" s="1"/>
    </row>
    <row r="803" spans="5:9" ht="12.75" x14ac:dyDescent="0.2">
      <c r="E803" s="1"/>
      <c r="F803" s="1"/>
      <c r="G803" s="1"/>
      <c r="I803" s="1"/>
    </row>
    <row r="804" spans="5:9" ht="12.75" x14ac:dyDescent="0.2">
      <c r="E804" s="1"/>
      <c r="F804" s="1"/>
      <c r="G804" s="1"/>
      <c r="I804" s="1"/>
    </row>
    <row r="805" spans="5:9" ht="12.75" x14ac:dyDescent="0.2">
      <c r="E805" s="1"/>
      <c r="F805" s="1"/>
      <c r="G805" s="1"/>
      <c r="I805" s="1"/>
    </row>
    <row r="806" spans="5:9" ht="12.75" x14ac:dyDescent="0.2">
      <c r="E806" s="1"/>
      <c r="F806" s="1"/>
      <c r="G806" s="1"/>
      <c r="I806" s="1"/>
    </row>
    <row r="807" spans="5:9" ht="12.75" x14ac:dyDescent="0.2">
      <c r="E807" s="1"/>
      <c r="F807" s="1"/>
      <c r="G807" s="1"/>
      <c r="I807" s="1"/>
    </row>
    <row r="808" spans="5:9" ht="12.75" x14ac:dyDescent="0.2">
      <c r="E808" s="1"/>
      <c r="F808" s="1"/>
      <c r="G808" s="1"/>
      <c r="I808" s="1"/>
    </row>
    <row r="809" spans="5:9" ht="12.75" x14ac:dyDescent="0.2">
      <c r="E809" s="1"/>
      <c r="F809" s="1"/>
      <c r="G809" s="1"/>
      <c r="I809" s="1"/>
    </row>
    <row r="810" spans="5:9" ht="12.75" x14ac:dyDescent="0.2">
      <c r="E810" s="1"/>
      <c r="F810" s="1"/>
      <c r="G810" s="1"/>
      <c r="I810" s="1"/>
    </row>
    <row r="811" spans="5:9" ht="12.75" x14ac:dyDescent="0.2">
      <c r="E811" s="1"/>
      <c r="F811" s="1"/>
      <c r="G811" s="1"/>
      <c r="I811" s="1"/>
    </row>
    <row r="812" spans="5:9" ht="12.75" x14ac:dyDescent="0.2">
      <c r="E812" s="1"/>
      <c r="F812" s="1"/>
      <c r="G812" s="1"/>
      <c r="I812" s="1"/>
    </row>
    <row r="813" spans="5:9" ht="12.75" x14ac:dyDescent="0.2">
      <c r="E813" s="1"/>
      <c r="F813" s="1"/>
      <c r="G813" s="1"/>
      <c r="I813" s="1"/>
    </row>
    <row r="814" spans="5:9" ht="12.75" x14ac:dyDescent="0.2">
      <c r="E814" s="1"/>
      <c r="F814" s="1"/>
      <c r="G814" s="1"/>
      <c r="I814" s="1"/>
    </row>
    <row r="815" spans="5:9" ht="12.75" x14ac:dyDescent="0.2">
      <c r="E815" s="1"/>
      <c r="F815" s="1"/>
      <c r="G815" s="1"/>
      <c r="I815" s="1"/>
    </row>
    <row r="816" spans="5:9" ht="12.75" x14ac:dyDescent="0.2">
      <c r="E816" s="1"/>
      <c r="F816" s="1"/>
      <c r="G816" s="1"/>
      <c r="I816" s="1"/>
    </row>
    <row r="817" spans="5:9" ht="12.75" x14ac:dyDescent="0.2">
      <c r="E817" s="1"/>
      <c r="F817" s="1"/>
      <c r="G817" s="1"/>
      <c r="I817" s="1"/>
    </row>
    <row r="818" spans="5:9" ht="12.75" x14ac:dyDescent="0.2">
      <c r="E818" s="1"/>
      <c r="F818" s="1"/>
      <c r="G818" s="1"/>
      <c r="I818" s="1"/>
    </row>
    <row r="819" spans="5:9" ht="12.75" x14ac:dyDescent="0.2">
      <c r="E819" s="1"/>
      <c r="F819" s="1"/>
      <c r="G819" s="1"/>
      <c r="I819" s="1"/>
    </row>
    <row r="820" spans="5:9" ht="12.75" x14ac:dyDescent="0.2">
      <c r="E820" s="1"/>
      <c r="F820" s="1"/>
      <c r="G820" s="1"/>
      <c r="I820" s="1"/>
    </row>
    <row r="821" spans="5:9" ht="12.75" x14ac:dyDescent="0.2">
      <c r="E821" s="1"/>
      <c r="F821" s="1"/>
      <c r="G821" s="1"/>
      <c r="I821" s="1"/>
    </row>
    <row r="822" spans="5:9" ht="12.75" x14ac:dyDescent="0.2">
      <c r="E822" s="1"/>
      <c r="F822" s="1"/>
      <c r="G822" s="1"/>
      <c r="I822" s="1"/>
    </row>
    <row r="823" spans="5:9" ht="12.75" x14ac:dyDescent="0.2">
      <c r="E823" s="1"/>
      <c r="F823" s="1"/>
      <c r="G823" s="1"/>
      <c r="I823" s="1"/>
    </row>
    <row r="824" spans="5:9" ht="12.75" x14ac:dyDescent="0.2">
      <c r="E824" s="1"/>
      <c r="F824" s="1"/>
      <c r="G824" s="1"/>
      <c r="I824" s="1"/>
    </row>
    <row r="825" spans="5:9" ht="12.75" x14ac:dyDescent="0.2">
      <c r="E825" s="1"/>
      <c r="F825" s="1"/>
      <c r="G825" s="1"/>
      <c r="I825" s="1"/>
    </row>
    <row r="826" spans="5:9" ht="12.75" x14ac:dyDescent="0.2">
      <c r="E826" s="1"/>
      <c r="F826" s="1"/>
      <c r="G826" s="1"/>
      <c r="I826" s="1"/>
    </row>
    <row r="827" spans="5:9" ht="12.75" x14ac:dyDescent="0.2">
      <c r="E827" s="1"/>
      <c r="F827" s="1"/>
      <c r="G827" s="1"/>
      <c r="I827" s="1"/>
    </row>
    <row r="828" spans="5:9" ht="12.75" x14ac:dyDescent="0.2">
      <c r="E828" s="1"/>
      <c r="F828" s="1"/>
      <c r="G828" s="1"/>
      <c r="I828" s="1"/>
    </row>
    <row r="829" spans="5:9" ht="12.75" x14ac:dyDescent="0.2">
      <c r="E829" s="1"/>
      <c r="F829" s="1"/>
      <c r="G829" s="1"/>
      <c r="I829" s="1"/>
    </row>
    <row r="830" spans="5:9" ht="12.75" x14ac:dyDescent="0.2">
      <c r="E830" s="1"/>
      <c r="F830" s="1"/>
      <c r="G830" s="1"/>
      <c r="I830" s="1"/>
    </row>
    <row r="831" spans="5:9" ht="12.75" x14ac:dyDescent="0.2">
      <c r="E831" s="1"/>
      <c r="F831" s="1"/>
      <c r="G831" s="1"/>
      <c r="I831" s="1"/>
    </row>
    <row r="832" spans="5:9" ht="12.75" x14ac:dyDescent="0.2">
      <c r="E832" s="1"/>
      <c r="F832" s="1"/>
      <c r="G832" s="1"/>
      <c r="I832" s="1"/>
    </row>
    <row r="833" spans="5:9" ht="12.75" x14ac:dyDescent="0.2">
      <c r="E833" s="1"/>
      <c r="F833" s="1"/>
      <c r="G833" s="1"/>
      <c r="I833" s="1"/>
    </row>
    <row r="834" spans="5:9" ht="12.75" x14ac:dyDescent="0.2">
      <c r="E834" s="1"/>
      <c r="F834" s="1"/>
      <c r="G834" s="1"/>
      <c r="I834" s="1"/>
    </row>
    <row r="835" spans="5:9" ht="12.75" x14ac:dyDescent="0.2">
      <c r="E835" s="1"/>
      <c r="F835" s="1"/>
      <c r="G835" s="1"/>
      <c r="I835" s="1"/>
    </row>
    <row r="836" spans="5:9" ht="12.75" x14ac:dyDescent="0.2">
      <c r="E836" s="1"/>
      <c r="F836" s="1"/>
      <c r="G836" s="1"/>
      <c r="I836" s="1"/>
    </row>
    <row r="837" spans="5:9" ht="12.75" x14ac:dyDescent="0.2">
      <c r="E837" s="1"/>
      <c r="F837" s="1"/>
      <c r="G837" s="1"/>
      <c r="I837" s="1"/>
    </row>
    <row r="838" spans="5:9" ht="12.75" x14ac:dyDescent="0.2">
      <c r="E838" s="1"/>
      <c r="F838" s="1"/>
      <c r="G838" s="1"/>
      <c r="I838" s="1"/>
    </row>
    <row r="839" spans="5:9" ht="12.75" x14ac:dyDescent="0.2">
      <c r="E839" s="1"/>
      <c r="F839" s="1"/>
      <c r="G839" s="1"/>
      <c r="I839" s="1"/>
    </row>
    <row r="840" spans="5:9" ht="12.75" x14ac:dyDescent="0.2">
      <c r="E840" s="1"/>
      <c r="F840" s="1"/>
      <c r="G840" s="1"/>
      <c r="I840" s="1"/>
    </row>
    <row r="841" spans="5:9" ht="12.75" x14ac:dyDescent="0.2">
      <c r="E841" s="1"/>
      <c r="F841" s="1"/>
      <c r="G841" s="1"/>
      <c r="I841" s="1"/>
    </row>
    <row r="842" spans="5:9" ht="12.75" x14ac:dyDescent="0.2">
      <c r="E842" s="1"/>
      <c r="F842" s="1"/>
      <c r="G842" s="1"/>
      <c r="I842" s="1"/>
    </row>
    <row r="843" spans="5:9" ht="12.75" x14ac:dyDescent="0.2">
      <c r="E843" s="1"/>
      <c r="F843" s="1"/>
      <c r="G843" s="1"/>
      <c r="I843" s="1"/>
    </row>
    <row r="844" spans="5:9" ht="12.75" x14ac:dyDescent="0.2">
      <c r="E844" s="1"/>
      <c r="F844" s="1"/>
      <c r="G844" s="1"/>
      <c r="I844" s="1"/>
    </row>
    <row r="845" spans="5:9" ht="12.75" x14ac:dyDescent="0.2">
      <c r="E845" s="1"/>
      <c r="F845" s="1"/>
      <c r="G845" s="1"/>
      <c r="I845" s="1"/>
    </row>
    <row r="846" spans="5:9" ht="12.75" x14ac:dyDescent="0.2">
      <c r="E846" s="1"/>
      <c r="F846" s="1"/>
      <c r="G846" s="1"/>
      <c r="I846" s="1"/>
    </row>
    <row r="847" spans="5:9" ht="12.75" x14ac:dyDescent="0.2">
      <c r="E847" s="1"/>
      <c r="F847" s="1"/>
      <c r="G847" s="1"/>
      <c r="I847" s="1"/>
    </row>
    <row r="848" spans="5:9" ht="12.75" x14ac:dyDescent="0.2">
      <c r="E848" s="1"/>
      <c r="F848" s="1"/>
      <c r="G848" s="1"/>
      <c r="I848" s="1"/>
    </row>
    <row r="849" spans="5:9" ht="12.75" x14ac:dyDescent="0.2">
      <c r="E849" s="1"/>
      <c r="F849" s="1"/>
      <c r="G849" s="1"/>
      <c r="I849" s="1"/>
    </row>
    <row r="850" spans="5:9" ht="12.75" x14ac:dyDescent="0.2">
      <c r="E850" s="1"/>
      <c r="F850" s="1"/>
      <c r="G850" s="1"/>
      <c r="I850" s="1"/>
    </row>
    <row r="851" spans="5:9" ht="12.75" x14ac:dyDescent="0.2">
      <c r="E851" s="1"/>
      <c r="F851" s="1"/>
      <c r="G851" s="1"/>
      <c r="I851" s="1"/>
    </row>
    <row r="852" spans="5:9" ht="12.75" x14ac:dyDescent="0.2">
      <c r="E852" s="1"/>
      <c r="F852" s="1"/>
      <c r="G852" s="1"/>
      <c r="I852" s="1"/>
    </row>
    <row r="853" spans="5:9" ht="12.75" x14ac:dyDescent="0.2">
      <c r="E853" s="1"/>
      <c r="F853" s="1"/>
      <c r="G853" s="1"/>
      <c r="I853" s="1"/>
    </row>
    <row r="854" spans="5:9" ht="12.75" x14ac:dyDescent="0.2">
      <c r="E854" s="1"/>
      <c r="F854" s="1"/>
      <c r="G854" s="1"/>
      <c r="I854" s="1"/>
    </row>
    <row r="855" spans="5:9" ht="12.75" x14ac:dyDescent="0.2">
      <c r="E855" s="1"/>
      <c r="F855" s="1"/>
      <c r="G855" s="1"/>
      <c r="I855" s="1"/>
    </row>
    <row r="856" spans="5:9" ht="12.75" x14ac:dyDescent="0.2">
      <c r="E856" s="1"/>
      <c r="F856" s="1"/>
      <c r="G856" s="1"/>
      <c r="I856" s="1"/>
    </row>
    <row r="857" spans="5:9" ht="12.75" x14ac:dyDescent="0.2">
      <c r="E857" s="1"/>
      <c r="F857" s="1"/>
      <c r="G857" s="1"/>
      <c r="I857" s="1"/>
    </row>
    <row r="858" spans="5:9" ht="12.75" x14ac:dyDescent="0.2">
      <c r="E858" s="1"/>
      <c r="F858" s="1"/>
      <c r="G858" s="1"/>
      <c r="I858" s="1"/>
    </row>
    <row r="859" spans="5:9" ht="12.75" x14ac:dyDescent="0.2">
      <c r="E859" s="1"/>
      <c r="F859" s="1"/>
      <c r="G859" s="1"/>
      <c r="I859" s="1"/>
    </row>
    <row r="860" spans="5:9" ht="12.75" x14ac:dyDescent="0.2">
      <c r="E860" s="1"/>
      <c r="F860" s="1"/>
      <c r="G860" s="1"/>
      <c r="I860" s="1"/>
    </row>
    <row r="861" spans="5:9" ht="12.75" x14ac:dyDescent="0.2">
      <c r="E861" s="1"/>
      <c r="F861" s="1"/>
      <c r="G861" s="1"/>
      <c r="I861" s="1"/>
    </row>
    <row r="862" spans="5:9" ht="12.75" x14ac:dyDescent="0.2">
      <c r="E862" s="1"/>
      <c r="F862" s="1"/>
      <c r="G862" s="1"/>
      <c r="I862" s="1"/>
    </row>
    <row r="863" spans="5:9" ht="12.75" x14ac:dyDescent="0.2">
      <c r="E863" s="1"/>
      <c r="F863" s="1"/>
      <c r="G863" s="1"/>
      <c r="I863" s="1"/>
    </row>
    <row r="864" spans="5:9" ht="12.75" x14ac:dyDescent="0.2">
      <c r="E864" s="1"/>
      <c r="F864" s="1"/>
      <c r="G864" s="1"/>
      <c r="I864" s="1"/>
    </row>
    <row r="865" spans="5:9" ht="12.75" x14ac:dyDescent="0.2">
      <c r="E865" s="1"/>
      <c r="F865" s="1"/>
      <c r="G865" s="1"/>
      <c r="I865" s="1"/>
    </row>
    <row r="866" spans="5:9" ht="12.75" x14ac:dyDescent="0.2">
      <c r="E866" s="1"/>
      <c r="F866" s="1"/>
      <c r="G866" s="1"/>
      <c r="I866" s="1"/>
    </row>
    <row r="867" spans="5:9" ht="12.75" x14ac:dyDescent="0.2">
      <c r="E867" s="1"/>
      <c r="F867" s="1"/>
      <c r="G867" s="1"/>
      <c r="I867" s="1"/>
    </row>
    <row r="868" spans="5:9" ht="12.75" x14ac:dyDescent="0.2">
      <c r="E868" s="1"/>
      <c r="F868" s="1"/>
      <c r="G868" s="1"/>
      <c r="I868" s="1"/>
    </row>
    <row r="869" spans="5:9" ht="12.75" x14ac:dyDescent="0.2">
      <c r="E869" s="1"/>
      <c r="F869" s="1"/>
      <c r="G869" s="1"/>
      <c r="I869" s="1"/>
    </row>
    <row r="870" spans="5:9" ht="12.75" x14ac:dyDescent="0.2">
      <c r="E870" s="1"/>
      <c r="F870" s="1"/>
      <c r="G870" s="1"/>
      <c r="I870" s="1"/>
    </row>
    <row r="871" spans="5:9" ht="12.75" x14ac:dyDescent="0.2">
      <c r="E871" s="1"/>
      <c r="F871" s="1"/>
      <c r="G871" s="1"/>
      <c r="I871" s="1"/>
    </row>
    <row r="872" spans="5:9" ht="12.75" x14ac:dyDescent="0.2">
      <c r="E872" s="1"/>
      <c r="F872" s="1"/>
      <c r="G872" s="1"/>
      <c r="I872" s="1"/>
    </row>
    <row r="873" spans="5:9" ht="12.75" x14ac:dyDescent="0.2">
      <c r="E873" s="1"/>
      <c r="F873" s="1"/>
      <c r="G873" s="1"/>
      <c r="I873" s="1"/>
    </row>
    <row r="874" spans="5:9" ht="12.75" x14ac:dyDescent="0.2">
      <c r="E874" s="1"/>
      <c r="F874" s="1"/>
      <c r="G874" s="1"/>
      <c r="I874" s="1"/>
    </row>
    <row r="875" spans="5:9" ht="12.75" x14ac:dyDescent="0.2">
      <c r="E875" s="1"/>
      <c r="F875" s="1"/>
      <c r="G875" s="1"/>
      <c r="I875" s="1"/>
    </row>
    <row r="876" spans="5:9" ht="12.75" x14ac:dyDescent="0.2">
      <c r="E876" s="1"/>
      <c r="F876" s="1"/>
      <c r="G876" s="1"/>
      <c r="I876" s="1"/>
    </row>
    <row r="877" spans="5:9" ht="12.75" x14ac:dyDescent="0.2">
      <c r="E877" s="1"/>
      <c r="F877" s="1"/>
      <c r="G877" s="1"/>
      <c r="I877" s="1"/>
    </row>
    <row r="878" spans="5:9" ht="12.75" x14ac:dyDescent="0.2">
      <c r="E878" s="1"/>
      <c r="F878" s="1"/>
      <c r="G878" s="1"/>
      <c r="I878" s="1"/>
    </row>
    <row r="879" spans="5:9" ht="12.75" x14ac:dyDescent="0.2">
      <c r="E879" s="1"/>
      <c r="F879" s="1"/>
      <c r="G879" s="1"/>
      <c r="I879" s="1"/>
    </row>
    <row r="880" spans="5:9" ht="12.75" x14ac:dyDescent="0.2">
      <c r="E880" s="1"/>
      <c r="F880" s="1"/>
      <c r="G880" s="1"/>
      <c r="I880" s="1"/>
    </row>
    <row r="881" spans="5:9" ht="12.75" x14ac:dyDescent="0.2">
      <c r="E881" s="1"/>
      <c r="F881" s="1"/>
      <c r="G881" s="1"/>
      <c r="I881" s="1"/>
    </row>
    <row r="882" spans="5:9" ht="12.75" x14ac:dyDescent="0.2">
      <c r="E882" s="1"/>
      <c r="F882" s="1"/>
      <c r="G882" s="1"/>
      <c r="I882" s="1"/>
    </row>
    <row r="883" spans="5:9" ht="12.75" x14ac:dyDescent="0.2">
      <c r="E883" s="1"/>
      <c r="F883" s="1"/>
      <c r="G883" s="1"/>
      <c r="I883" s="1"/>
    </row>
    <row r="884" spans="5:9" ht="12.75" x14ac:dyDescent="0.2">
      <c r="E884" s="1"/>
      <c r="F884" s="1"/>
      <c r="G884" s="1"/>
      <c r="I884" s="1"/>
    </row>
    <row r="885" spans="5:9" ht="12.75" x14ac:dyDescent="0.2">
      <c r="E885" s="1"/>
      <c r="F885" s="1"/>
      <c r="G885" s="1"/>
      <c r="I885" s="1"/>
    </row>
    <row r="886" spans="5:9" ht="12.75" x14ac:dyDescent="0.2">
      <c r="E886" s="1"/>
      <c r="F886" s="1"/>
      <c r="G886" s="1"/>
      <c r="I886" s="1"/>
    </row>
    <row r="887" spans="5:9" ht="12.75" x14ac:dyDescent="0.2">
      <c r="E887" s="1"/>
      <c r="F887" s="1"/>
      <c r="G887" s="1"/>
      <c r="I887" s="1"/>
    </row>
    <row r="888" spans="5:9" ht="12.75" x14ac:dyDescent="0.2">
      <c r="E888" s="1"/>
      <c r="F888" s="1"/>
      <c r="G888" s="1"/>
      <c r="I888" s="1"/>
    </row>
    <row r="889" spans="5:9" ht="12.75" x14ac:dyDescent="0.2">
      <c r="E889" s="1"/>
      <c r="F889" s="1"/>
      <c r="G889" s="1"/>
      <c r="I889" s="1"/>
    </row>
    <row r="890" spans="5:9" ht="12.75" x14ac:dyDescent="0.2">
      <c r="E890" s="1"/>
      <c r="F890" s="1"/>
      <c r="G890" s="1"/>
      <c r="I890" s="1"/>
    </row>
    <row r="891" spans="5:9" ht="12.75" x14ac:dyDescent="0.2">
      <c r="E891" s="1"/>
      <c r="F891" s="1"/>
      <c r="G891" s="1"/>
      <c r="I891" s="1"/>
    </row>
    <row r="892" spans="5:9" ht="12.75" x14ac:dyDescent="0.2">
      <c r="E892" s="1"/>
      <c r="F892" s="1"/>
      <c r="G892" s="1"/>
      <c r="I892" s="1"/>
    </row>
    <row r="893" spans="5:9" ht="12.75" x14ac:dyDescent="0.2">
      <c r="E893" s="1"/>
      <c r="F893" s="1"/>
      <c r="G893" s="1"/>
      <c r="I893" s="1"/>
    </row>
    <row r="894" spans="5:9" ht="12.75" x14ac:dyDescent="0.2">
      <c r="E894" s="1"/>
      <c r="F894" s="1"/>
      <c r="G894" s="1"/>
      <c r="I894" s="1"/>
    </row>
    <row r="895" spans="5:9" ht="12.75" x14ac:dyDescent="0.2">
      <c r="E895" s="1"/>
      <c r="F895" s="1"/>
      <c r="G895" s="1"/>
      <c r="I895" s="1"/>
    </row>
    <row r="896" spans="5:9" ht="12.75" x14ac:dyDescent="0.2">
      <c r="E896" s="1"/>
      <c r="F896" s="1"/>
      <c r="G896" s="1"/>
      <c r="I896" s="1"/>
    </row>
    <row r="897" spans="5:9" ht="12.75" x14ac:dyDescent="0.2">
      <c r="E897" s="1"/>
      <c r="F897" s="1"/>
      <c r="G897" s="1"/>
      <c r="I897" s="1"/>
    </row>
    <row r="898" spans="5:9" ht="12.75" x14ac:dyDescent="0.2">
      <c r="E898" s="1"/>
      <c r="F898" s="1"/>
      <c r="G898" s="1"/>
      <c r="I898" s="1"/>
    </row>
    <row r="899" spans="5:9" ht="12.75" x14ac:dyDescent="0.2">
      <c r="E899" s="1"/>
      <c r="F899" s="1"/>
      <c r="G899" s="1"/>
      <c r="I899" s="1"/>
    </row>
    <row r="900" spans="5:9" ht="12.75" x14ac:dyDescent="0.2">
      <c r="E900" s="1"/>
      <c r="F900" s="1"/>
      <c r="G900" s="1"/>
      <c r="I900" s="1"/>
    </row>
    <row r="901" spans="5:9" ht="12.75" x14ac:dyDescent="0.2">
      <c r="E901" s="1"/>
      <c r="F901" s="1"/>
      <c r="G901" s="1"/>
      <c r="I901" s="1"/>
    </row>
    <row r="902" spans="5:9" ht="12.75" x14ac:dyDescent="0.2">
      <c r="E902" s="1"/>
      <c r="F902" s="1"/>
      <c r="G902" s="1"/>
      <c r="I902" s="1"/>
    </row>
    <row r="903" spans="5:9" ht="12.75" x14ac:dyDescent="0.2">
      <c r="E903" s="1"/>
      <c r="F903" s="1"/>
      <c r="G903" s="1"/>
      <c r="I903" s="1"/>
    </row>
    <row r="904" spans="5:9" ht="12.75" x14ac:dyDescent="0.2">
      <c r="E904" s="1"/>
      <c r="F904" s="1"/>
      <c r="G904" s="1"/>
      <c r="I904" s="1"/>
    </row>
    <row r="905" spans="5:9" ht="12.75" x14ac:dyDescent="0.2">
      <c r="E905" s="1"/>
      <c r="F905" s="1"/>
      <c r="G905" s="1"/>
      <c r="I905" s="1"/>
    </row>
    <row r="906" spans="5:9" ht="12.75" x14ac:dyDescent="0.2">
      <c r="E906" s="1"/>
      <c r="F906" s="1"/>
      <c r="G906" s="1"/>
      <c r="I906" s="1"/>
    </row>
    <row r="907" spans="5:9" ht="12.75" x14ac:dyDescent="0.2">
      <c r="E907" s="1"/>
      <c r="F907" s="1"/>
      <c r="G907" s="1"/>
      <c r="I907" s="1"/>
    </row>
    <row r="908" spans="5:9" ht="12.75" x14ac:dyDescent="0.2">
      <c r="E908" s="1"/>
      <c r="F908" s="1"/>
      <c r="G908" s="1"/>
      <c r="I908" s="1"/>
    </row>
    <row r="909" spans="5:9" ht="12.75" x14ac:dyDescent="0.2">
      <c r="E909" s="1"/>
      <c r="F909" s="1"/>
      <c r="G909" s="1"/>
      <c r="I909" s="1"/>
    </row>
    <row r="910" spans="5:9" ht="12.75" x14ac:dyDescent="0.2">
      <c r="E910" s="1"/>
      <c r="F910" s="1"/>
      <c r="G910" s="1"/>
      <c r="I910" s="1"/>
    </row>
    <row r="911" spans="5:9" ht="12.75" x14ac:dyDescent="0.2">
      <c r="E911" s="1"/>
      <c r="F911" s="1"/>
      <c r="G911" s="1"/>
      <c r="I911" s="1"/>
    </row>
    <row r="912" spans="5:9" ht="12.75" x14ac:dyDescent="0.2">
      <c r="E912" s="1"/>
      <c r="F912" s="1"/>
      <c r="G912" s="1"/>
      <c r="I912" s="1"/>
    </row>
    <row r="913" spans="5:9" ht="12.75" x14ac:dyDescent="0.2">
      <c r="E913" s="1"/>
      <c r="F913" s="1"/>
      <c r="G913" s="1"/>
      <c r="I913" s="1"/>
    </row>
    <row r="914" spans="5:9" ht="12.75" x14ac:dyDescent="0.2">
      <c r="E914" s="1"/>
      <c r="F914" s="1"/>
      <c r="G914" s="1"/>
      <c r="I914" s="1"/>
    </row>
    <row r="915" spans="5:9" ht="12.75" x14ac:dyDescent="0.2">
      <c r="E915" s="1"/>
      <c r="F915" s="1"/>
      <c r="G915" s="1"/>
      <c r="I915" s="1"/>
    </row>
    <row r="916" spans="5:9" ht="12.75" x14ac:dyDescent="0.2">
      <c r="E916" s="1"/>
      <c r="F916" s="1"/>
      <c r="G916" s="1"/>
      <c r="I916" s="1"/>
    </row>
    <row r="917" spans="5:9" ht="12.75" x14ac:dyDescent="0.2">
      <c r="E917" s="1"/>
      <c r="F917" s="1"/>
      <c r="G917" s="1"/>
      <c r="I917" s="1"/>
    </row>
    <row r="918" spans="5:9" ht="12.75" x14ac:dyDescent="0.2">
      <c r="E918" s="1"/>
      <c r="F918" s="1"/>
      <c r="G918" s="1"/>
      <c r="I918" s="1"/>
    </row>
    <row r="919" spans="5:9" ht="12.75" x14ac:dyDescent="0.2">
      <c r="E919" s="1"/>
      <c r="F919" s="1"/>
      <c r="G919" s="1"/>
      <c r="I919" s="1"/>
    </row>
    <row r="920" spans="5:9" ht="12.75" x14ac:dyDescent="0.2">
      <c r="E920" s="1"/>
      <c r="F920" s="1"/>
      <c r="G920" s="1"/>
      <c r="I920" s="1"/>
    </row>
    <row r="921" spans="5:9" ht="12.75" x14ac:dyDescent="0.2">
      <c r="E921" s="1"/>
      <c r="F921" s="1"/>
      <c r="G921" s="1"/>
      <c r="I921" s="1"/>
    </row>
    <row r="922" spans="5:9" ht="12.75" x14ac:dyDescent="0.2">
      <c r="E922" s="1"/>
      <c r="F922" s="1"/>
      <c r="G922" s="1"/>
      <c r="I922" s="1"/>
    </row>
    <row r="923" spans="5:9" ht="12.75" x14ac:dyDescent="0.2">
      <c r="E923" s="1"/>
      <c r="F923" s="1"/>
      <c r="G923" s="1"/>
      <c r="I923" s="1"/>
    </row>
    <row r="924" spans="5:9" ht="12.75" x14ac:dyDescent="0.2">
      <c r="E924" s="1"/>
      <c r="F924" s="1"/>
      <c r="G924" s="1"/>
      <c r="I924" s="1"/>
    </row>
    <row r="925" spans="5:9" ht="12.75" x14ac:dyDescent="0.2">
      <c r="E925" s="1"/>
      <c r="F925" s="1"/>
      <c r="G925" s="1"/>
      <c r="I925" s="1"/>
    </row>
    <row r="926" spans="5:9" ht="12.75" x14ac:dyDescent="0.2">
      <c r="E926" s="1"/>
      <c r="F926" s="1"/>
      <c r="G926" s="1"/>
      <c r="I926" s="1"/>
    </row>
    <row r="927" spans="5:9" ht="12.75" x14ac:dyDescent="0.2">
      <c r="E927" s="1"/>
      <c r="F927" s="1"/>
      <c r="G927" s="1"/>
      <c r="I927" s="1"/>
    </row>
    <row r="928" spans="5:9" ht="12.75" x14ac:dyDescent="0.2">
      <c r="E928" s="1"/>
      <c r="F928" s="1"/>
      <c r="G928" s="1"/>
      <c r="I928" s="1"/>
    </row>
    <row r="929" spans="5:9" ht="12.75" x14ac:dyDescent="0.2">
      <c r="E929" s="1"/>
      <c r="F929" s="1"/>
      <c r="G929" s="1"/>
      <c r="I929" s="1"/>
    </row>
    <row r="930" spans="5:9" ht="12.75" x14ac:dyDescent="0.2">
      <c r="E930" s="1"/>
      <c r="F930" s="1"/>
      <c r="G930" s="1"/>
      <c r="I930" s="1"/>
    </row>
    <row r="931" spans="5:9" ht="12.75" x14ac:dyDescent="0.2">
      <c r="E931" s="1"/>
      <c r="F931" s="1"/>
      <c r="G931" s="1"/>
      <c r="I931" s="1"/>
    </row>
    <row r="932" spans="5:9" ht="12.75" x14ac:dyDescent="0.2">
      <c r="E932" s="1"/>
      <c r="F932" s="1"/>
      <c r="G932" s="1"/>
      <c r="I932" s="1"/>
    </row>
    <row r="933" spans="5:9" ht="12.75" x14ac:dyDescent="0.2">
      <c r="E933" s="1"/>
      <c r="F933" s="1"/>
      <c r="G933" s="1"/>
      <c r="I933" s="1"/>
    </row>
    <row r="934" spans="5:9" ht="12.75" x14ac:dyDescent="0.2">
      <c r="E934" s="1"/>
      <c r="F934" s="1"/>
      <c r="G934" s="1"/>
      <c r="I934" s="1"/>
    </row>
    <row r="935" spans="5:9" ht="12.75" x14ac:dyDescent="0.2">
      <c r="E935" s="1"/>
      <c r="F935" s="1"/>
      <c r="G935" s="1"/>
      <c r="I935" s="1"/>
    </row>
    <row r="936" spans="5:9" ht="12.75" x14ac:dyDescent="0.2">
      <c r="E936" s="1"/>
      <c r="F936" s="1"/>
      <c r="G936" s="1"/>
      <c r="I936" s="1"/>
    </row>
    <row r="937" spans="5:9" ht="12.75" x14ac:dyDescent="0.2">
      <c r="E937" s="1"/>
      <c r="F937" s="1"/>
      <c r="G937" s="1"/>
      <c r="I937" s="1"/>
    </row>
    <row r="938" spans="5:9" ht="12.75" x14ac:dyDescent="0.2">
      <c r="E938" s="1"/>
      <c r="F938" s="1"/>
      <c r="G938" s="1"/>
      <c r="I938" s="1"/>
    </row>
    <row r="939" spans="5:9" ht="12.75" x14ac:dyDescent="0.2">
      <c r="E939" s="1"/>
      <c r="F939" s="1"/>
      <c r="G939" s="1"/>
      <c r="I939" s="1"/>
    </row>
    <row r="940" spans="5:9" ht="12.75" x14ac:dyDescent="0.2">
      <c r="E940" s="1"/>
      <c r="F940" s="1"/>
      <c r="G940" s="1"/>
      <c r="I940" s="1"/>
    </row>
    <row r="941" spans="5:9" ht="12.75" x14ac:dyDescent="0.2">
      <c r="E941" s="1"/>
      <c r="F941" s="1"/>
      <c r="G941" s="1"/>
      <c r="I941" s="1"/>
    </row>
    <row r="942" spans="5:9" ht="12.75" x14ac:dyDescent="0.2">
      <c r="E942" s="1"/>
      <c r="F942" s="1"/>
      <c r="G942" s="1"/>
      <c r="I942" s="1"/>
    </row>
    <row r="943" spans="5:9" ht="12.75" x14ac:dyDescent="0.2">
      <c r="E943" s="1"/>
      <c r="F943" s="1"/>
      <c r="G943" s="1"/>
      <c r="I943" s="1"/>
    </row>
    <row r="944" spans="5:9" ht="12.75" x14ac:dyDescent="0.2">
      <c r="E944" s="1"/>
      <c r="F944" s="1"/>
      <c r="G944" s="1"/>
      <c r="I944" s="1"/>
    </row>
    <row r="945" spans="5:9" ht="12.75" x14ac:dyDescent="0.2">
      <c r="E945" s="1"/>
      <c r="F945" s="1"/>
      <c r="G945" s="1"/>
      <c r="I945" s="1"/>
    </row>
    <row r="946" spans="5:9" ht="12.75" x14ac:dyDescent="0.2">
      <c r="E946" s="1"/>
      <c r="F946" s="1"/>
      <c r="G946" s="1"/>
      <c r="I946" s="1"/>
    </row>
    <row r="947" spans="5:9" ht="12.75" x14ac:dyDescent="0.2">
      <c r="E947" s="1"/>
      <c r="F947" s="1"/>
      <c r="G947" s="1"/>
      <c r="I947" s="1"/>
    </row>
    <row r="948" spans="5:9" ht="12.75" x14ac:dyDescent="0.2">
      <c r="E948" s="1"/>
      <c r="F948" s="1"/>
      <c r="G948" s="1"/>
      <c r="I948" s="1"/>
    </row>
    <row r="949" spans="5:9" ht="12.75" x14ac:dyDescent="0.2">
      <c r="E949" s="1"/>
      <c r="F949" s="1"/>
      <c r="G949" s="1"/>
      <c r="I949" s="1"/>
    </row>
    <row r="950" spans="5:9" ht="12.75" x14ac:dyDescent="0.2">
      <c r="E950" s="1"/>
      <c r="F950" s="1"/>
      <c r="G950" s="1"/>
      <c r="I950" s="1"/>
    </row>
    <row r="951" spans="5:9" ht="12.75" x14ac:dyDescent="0.2">
      <c r="E951" s="1"/>
      <c r="F951" s="1"/>
      <c r="G951" s="1"/>
      <c r="I951" s="1"/>
    </row>
  </sheetData>
  <mergeCells count="12">
    <mergeCell ref="B1:C1"/>
    <mergeCell ref="X1:Y1"/>
    <mergeCell ref="V1:W1"/>
    <mergeCell ref="D1:E1"/>
    <mergeCell ref="H1:I1"/>
    <mergeCell ref="L1:M1"/>
    <mergeCell ref="F1:G1"/>
    <mergeCell ref="T1:U1"/>
    <mergeCell ref="R1:S1"/>
    <mergeCell ref="P1:Q1"/>
    <mergeCell ref="J1:K1"/>
    <mergeCell ref="N1:O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3AD0-3119-4F70-84D1-9BEA44AF50ED}">
  <sheetPr filterMode="1"/>
  <dimension ref="A1:H323"/>
  <sheetViews>
    <sheetView topLeftCell="E1" workbookViewId="0">
      <selection activeCell="H7" sqref="H7:H323"/>
    </sheetView>
  </sheetViews>
  <sheetFormatPr defaultRowHeight="12.75" x14ac:dyDescent="0.2"/>
  <cols>
    <col min="1" max="2" width="9.140625" style="7"/>
    <col min="3" max="3" width="25.7109375" style="7" customWidth="1"/>
    <col min="4" max="4" width="13.42578125" style="7" customWidth="1"/>
    <col min="5" max="5" width="14.7109375" style="7" customWidth="1"/>
    <col min="6" max="6" width="8.5703125" style="7" customWidth="1"/>
    <col min="7" max="7" width="14.85546875" style="7" customWidth="1"/>
  </cols>
  <sheetData>
    <row r="1" spans="1:8" ht="18" x14ac:dyDescent="0.25">
      <c r="A1" s="259" t="s">
        <v>187</v>
      </c>
      <c r="B1" s="259"/>
      <c r="C1" s="259"/>
      <c r="D1" s="259"/>
      <c r="E1" s="259"/>
      <c r="F1" s="259"/>
      <c r="G1" s="259"/>
    </row>
    <row r="2" spans="1:8" x14ac:dyDescent="0.2">
      <c r="A2" s="258" t="s">
        <v>188</v>
      </c>
      <c r="B2" s="258"/>
      <c r="C2" s="258"/>
      <c r="D2" s="258"/>
      <c r="E2" s="258"/>
      <c r="F2" s="258"/>
      <c r="G2" s="258"/>
    </row>
    <row r="3" spans="1:8" x14ac:dyDescent="0.2">
      <c r="A3" s="207" t="s">
        <v>6</v>
      </c>
      <c r="B3" s="207" t="s">
        <v>7</v>
      </c>
      <c r="C3" s="207" t="s">
        <v>10</v>
      </c>
      <c r="D3" s="208" t="s">
        <v>11</v>
      </c>
      <c r="E3" s="208" t="s">
        <v>12</v>
      </c>
      <c r="F3" s="207" t="s">
        <v>38</v>
      </c>
      <c r="G3" s="207" t="s">
        <v>32</v>
      </c>
    </row>
    <row r="4" spans="1:8" x14ac:dyDescent="0.2">
      <c r="A4" s="184">
        <v>3</v>
      </c>
      <c r="B4" s="184" t="s">
        <v>189</v>
      </c>
      <c r="C4" s="184">
        <v>1</v>
      </c>
      <c r="D4" s="185">
        <v>150000</v>
      </c>
      <c r="E4" s="185">
        <v>7275000</v>
      </c>
      <c r="F4" s="123">
        <v>1</v>
      </c>
      <c r="G4" s="123">
        <f>F4*E4</f>
        <v>7275000</v>
      </c>
    </row>
    <row r="5" spans="1:8" x14ac:dyDescent="0.2">
      <c r="A5" s="258" t="s">
        <v>300</v>
      </c>
      <c r="B5" s="258"/>
      <c r="C5" s="258"/>
      <c r="D5" s="258"/>
      <c r="E5" s="258"/>
      <c r="F5" s="258"/>
      <c r="G5" s="258"/>
    </row>
    <row r="6" spans="1:8" ht="13.5" thickBot="1" x14ac:dyDescent="0.25">
      <c r="A6" s="207" t="s">
        <v>6</v>
      </c>
      <c r="B6" s="207" t="s">
        <v>7</v>
      </c>
      <c r="C6" s="207" t="s">
        <v>10</v>
      </c>
      <c r="D6" s="208" t="s">
        <v>11</v>
      </c>
      <c r="E6" s="208" t="s">
        <v>12</v>
      </c>
      <c r="F6" s="207" t="s">
        <v>38</v>
      </c>
      <c r="G6" s="207" t="s">
        <v>32</v>
      </c>
    </row>
    <row r="7" spans="1:8" s="98" customFormat="1" ht="13.5" thickBot="1" x14ac:dyDescent="0.25">
      <c r="A7" s="330">
        <v>3</v>
      </c>
      <c r="B7" s="330" t="s">
        <v>191</v>
      </c>
      <c r="C7" s="330" t="s">
        <v>192</v>
      </c>
      <c r="D7" s="331">
        <v>110000</v>
      </c>
      <c r="E7" s="331">
        <v>9185000</v>
      </c>
      <c r="F7" s="209">
        <v>5</v>
      </c>
      <c r="G7" s="209">
        <f>F7*E7</f>
        <v>45925000</v>
      </c>
    </row>
    <row r="8" spans="1:8" s="98" customFormat="1" ht="13.5" thickBot="1" x14ac:dyDescent="0.25">
      <c r="A8" s="330">
        <v>3</v>
      </c>
      <c r="B8" s="330" t="s">
        <v>191</v>
      </c>
      <c r="C8" s="330" t="s">
        <v>193</v>
      </c>
      <c r="D8" s="331">
        <v>112000</v>
      </c>
      <c r="E8" s="331">
        <v>9352000</v>
      </c>
      <c r="F8" s="209">
        <v>2</v>
      </c>
      <c r="G8" s="209">
        <f>F8*E8</f>
        <v>18704000</v>
      </c>
    </row>
    <row r="9" spans="1:8" s="98" customFormat="1" ht="13.5" thickBot="1" x14ac:dyDescent="0.25">
      <c r="A9" s="258" t="s">
        <v>301</v>
      </c>
      <c r="B9" s="258"/>
      <c r="C9" s="258"/>
      <c r="D9" s="258"/>
      <c r="E9" s="258"/>
      <c r="F9" s="258"/>
      <c r="G9" s="258"/>
    </row>
    <row r="10" spans="1:8" ht="13.5" thickBot="1" x14ac:dyDescent="0.25">
      <c r="A10" s="330">
        <v>3</v>
      </c>
      <c r="B10" s="330" t="s">
        <v>194</v>
      </c>
      <c r="C10" s="330" t="s">
        <v>302</v>
      </c>
      <c r="D10" s="331">
        <v>110000</v>
      </c>
      <c r="E10" s="331">
        <v>9614000</v>
      </c>
      <c r="F10" s="210">
        <v>7</v>
      </c>
      <c r="G10" s="209">
        <f>F10*E10</f>
        <v>67298000</v>
      </c>
      <c r="H10" s="98"/>
    </row>
    <row r="11" spans="1:8" ht="13.5" thickBot="1" x14ac:dyDescent="0.25">
      <c r="A11" s="258" t="s">
        <v>303</v>
      </c>
      <c r="B11" s="258"/>
      <c r="C11" s="258"/>
      <c r="D11" s="258"/>
      <c r="E11" s="258"/>
      <c r="F11" s="258"/>
      <c r="G11" s="258"/>
    </row>
    <row r="12" spans="1:8" ht="13.5" thickBot="1" x14ac:dyDescent="0.25">
      <c r="A12" s="330">
        <v>3</v>
      </c>
      <c r="B12" s="330" t="s">
        <v>195</v>
      </c>
      <c r="C12" s="330" t="s">
        <v>282</v>
      </c>
      <c r="D12" s="331">
        <v>110000</v>
      </c>
      <c r="E12" s="331">
        <v>9174000</v>
      </c>
      <c r="F12" s="210">
        <v>7</v>
      </c>
      <c r="G12" s="209">
        <f t="shared" ref="G12:G15" si="0">F12*E12</f>
        <v>64218000</v>
      </c>
      <c r="H12" s="98"/>
    </row>
    <row r="13" spans="1:8" ht="13.5" thickBot="1" x14ac:dyDescent="0.25">
      <c r="A13" s="330">
        <v>3</v>
      </c>
      <c r="B13" s="330" t="s">
        <v>196</v>
      </c>
      <c r="C13" s="330">
        <v>3</v>
      </c>
      <c r="D13" s="331">
        <v>110000</v>
      </c>
      <c r="E13" s="331">
        <v>9273000</v>
      </c>
      <c r="F13" s="210">
        <v>1</v>
      </c>
      <c r="G13" s="209">
        <f t="shared" si="0"/>
        <v>9273000</v>
      </c>
      <c r="H13" s="98"/>
    </row>
    <row r="14" spans="1:8" ht="13.5" thickBot="1" x14ac:dyDescent="0.25">
      <c r="A14" s="330">
        <v>3</v>
      </c>
      <c r="B14" s="330">
        <v>86</v>
      </c>
      <c r="C14" s="330" t="s">
        <v>197</v>
      </c>
      <c r="D14" s="331">
        <v>110000</v>
      </c>
      <c r="E14" s="331">
        <v>9460000</v>
      </c>
      <c r="F14" s="210">
        <v>5</v>
      </c>
      <c r="G14" s="209">
        <f t="shared" si="0"/>
        <v>47300000</v>
      </c>
      <c r="H14" s="98"/>
    </row>
    <row r="15" spans="1:8" ht="13.5" thickBot="1" x14ac:dyDescent="0.25">
      <c r="A15" s="330">
        <v>3</v>
      </c>
      <c r="B15" s="330" t="s">
        <v>198</v>
      </c>
      <c r="C15" s="330">
        <v>2</v>
      </c>
      <c r="D15" s="331">
        <v>110000</v>
      </c>
      <c r="E15" s="331">
        <v>9504000</v>
      </c>
      <c r="F15" s="210">
        <v>1</v>
      </c>
      <c r="G15" s="209">
        <f t="shared" si="0"/>
        <v>9504000</v>
      </c>
      <c r="H15" s="98"/>
    </row>
    <row r="16" spans="1:8" ht="13.5" thickBot="1" x14ac:dyDescent="0.25">
      <c r="A16" s="258" t="s">
        <v>304</v>
      </c>
      <c r="B16" s="258"/>
      <c r="C16" s="258"/>
      <c r="D16" s="258"/>
      <c r="E16" s="258"/>
      <c r="F16" s="258"/>
      <c r="G16" s="258"/>
    </row>
    <row r="17" spans="1:8" ht="13.5" thickBot="1" x14ac:dyDescent="0.25">
      <c r="A17" s="330">
        <v>3</v>
      </c>
      <c r="B17" s="330" t="s">
        <v>199</v>
      </c>
      <c r="C17" s="330">
        <v>16</v>
      </c>
      <c r="D17" s="331">
        <v>130000</v>
      </c>
      <c r="E17" s="331">
        <v>7358000</v>
      </c>
      <c r="F17" s="210">
        <v>1</v>
      </c>
      <c r="G17" s="210">
        <f>F17*E17</f>
        <v>7358000</v>
      </c>
    </row>
    <row r="18" spans="1:8" ht="13.5" thickBot="1" x14ac:dyDescent="0.25">
      <c r="A18" s="330">
        <v>3</v>
      </c>
      <c r="B18" s="330" t="s">
        <v>200</v>
      </c>
      <c r="C18" s="330" t="s">
        <v>234</v>
      </c>
      <c r="D18" s="331">
        <v>125000</v>
      </c>
      <c r="E18" s="331">
        <v>7700000</v>
      </c>
      <c r="F18" s="210">
        <v>2</v>
      </c>
      <c r="G18" s="210">
        <f t="shared" ref="G18:G21" si="1">F18*E18</f>
        <v>15400000</v>
      </c>
    </row>
    <row r="19" spans="1:8" ht="13.5" thickBot="1" x14ac:dyDescent="0.25">
      <c r="A19" s="330">
        <v>2</v>
      </c>
      <c r="B19" s="330" t="s">
        <v>200</v>
      </c>
      <c r="C19" s="330">
        <v>16</v>
      </c>
      <c r="D19" s="331">
        <v>125000</v>
      </c>
      <c r="E19" s="331">
        <v>7700000</v>
      </c>
      <c r="F19" s="210">
        <v>1</v>
      </c>
      <c r="G19" s="210">
        <f t="shared" si="1"/>
        <v>7700000</v>
      </c>
    </row>
    <row r="20" spans="1:8" ht="13.5" thickBot="1" x14ac:dyDescent="0.25">
      <c r="A20" s="330">
        <v>2</v>
      </c>
      <c r="B20" s="330" t="s">
        <v>200</v>
      </c>
      <c r="C20" s="330">
        <v>17</v>
      </c>
      <c r="D20" s="331">
        <v>125000</v>
      </c>
      <c r="E20" s="331">
        <v>7700000</v>
      </c>
      <c r="F20" s="210">
        <v>1</v>
      </c>
      <c r="G20" s="210">
        <f t="shared" si="1"/>
        <v>7700000</v>
      </c>
    </row>
    <row r="21" spans="1:8" ht="13.5" thickBot="1" x14ac:dyDescent="0.25">
      <c r="A21" s="330">
        <v>2</v>
      </c>
      <c r="B21" s="330">
        <v>62</v>
      </c>
      <c r="C21" s="330">
        <v>3</v>
      </c>
      <c r="D21" s="331">
        <v>113000</v>
      </c>
      <c r="E21" s="331">
        <v>7006000</v>
      </c>
      <c r="F21" s="210">
        <v>1</v>
      </c>
      <c r="G21" s="210">
        <f t="shared" si="1"/>
        <v>7006000</v>
      </c>
    </row>
    <row r="22" spans="1:8" x14ac:dyDescent="0.2">
      <c r="A22" s="258" t="s">
        <v>305</v>
      </c>
      <c r="B22" s="258"/>
      <c r="C22" s="258"/>
      <c r="D22" s="258"/>
      <c r="E22" s="258"/>
      <c r="F22" s="258"/>
      <c r="G22" s="258"/>
    </row>
    <row r="23" spans="1:8" ht="13.5" thickBot="1" x14ac:dyDescent="0.25">
      <c r="A23" s="207" t="s">
        <v>6</v>
      </c>
      <c r="B23" s="207" t="s">
        <v>7</v>
      </c>
      <c r="C23" s="207" t="s">
        <v>10</v>
      </c>
      <c r="D23" s="208" t="s">
        <v>11</v>
      </c>
      <c r="E23" s="208" t="s">
        <v>12</v>
      </c>
      <c r="F23" s="207" t="s">
        <v>38</v>
      </c>
      <c r="G23" s="207" t="s">
        <v>32</v>
      </c>
    </row>
    <row r="24" spans="1:8" ht="13.5" thickBot="1" x14ac:dyDescent="0.25">
      <c r="A24" s="330">
        <v>2</v>
      </c>
      <c r="B24" s="330" t="s">
        <v>203</v>
      </c>
      <c r="C24" s="330">
        <v>17</v>
      </c>
      <c r="D24" s="331">
        <v>128000</v>
      </c>
      <c r="E24" s="331">
        <v>7347200</v>
      </c>
      <c r="F24" s="210">
        <v>1</v>
      </c>
      <c r="G24" s="210">
        <f>F24*E24</f>
        <v>7347200</v>
      </c>
    </row>
    <row r="25" spans="1:8" ht="26.25" thickBot="1" x14ac:dyDescent="0.25">
      <c r="A25" s="330">
        <v>3</v>
      </c>
      <c r="B25" s="330" t="s">
        <v>195</v>
      </c>
      <c r="C25" s="330" t="s">
        <v>204</v>
      </c>
      <c r="D25" s="331">
        <v>112000</v>
      </c>
      <c r="E25" s="331">
        <v>9340800</v>
      </c>
      <c r="F25" s="210">
        <v>12</v>
      </c>
      <c r="G25" s="209">
        <f t="shared" ref="G25:G26" si="2">F25*E25</f>
        <v>112089600</v>
      </c>
      <c r="H25" s="98"/>
    </row>
    <row r="26" spans="1:8" ht="13.5" thickBot="1" x14ac:dyDescent="0.25">
      <c r="A26" s="330">
        <v>3</v>
      </c>
      <c r="B26" s="330" t="s">
        <v>205</v>
      </c>
      <c r="C26" s="330">
        <v>2</v>
      </c>
      <c r="D26" s="331">
        <v>112000</v>
      </c>
      <c r="E26" s="331">
        <v>9385600</v>
      </c>
      <c r="F26" s="210">
        <v>1</v>
      </c>
      <c r="G26" s="209">
        <f t="shared" si="2"/>
        <v>9385600</v>
      </c>
      <c r="H26" s="98"/>
    </row>
    <row r="27" spans="1:8" ht="13.5" thickBot="1" x14ac:dyDescent="0.25">
      <c r="A27" s="258" t="s">
        <v>306</v>
      </c>
      <c r="B27" s="258"/>
      <c r="C27" s="258"/>
      <c r="D27" s="258"/>
      <c r="E27" s="258"/>
      <c r="F27" s="258"/>
      <c r="G27" s="258"/>
    </row>
    <row r="28" spans="1:8" ht="13.5" thickBot="1" x14ac:dyDescent="0.25">
      <c r="A28" s="330">
        <v>2</v>
      </c>
      <c r="B28" s="330" t="s">
        <v>206</v>
      </c>
      <c r="C28" s="330">
        <v>2</v>
      </c>
      <c r="D28" s="331">
        <v>112000</v>
      </c>
      <c r="E28" s="331">
        <v>7470400</v>
      </c>
      <c r="F28" s="210">
        <v>1</v>
      </c>
      <c r="G28" s="210">
        <f t="shared" ref="G28:G30" si="3">F28*E28</f>
        <v>7470400</v>
      </c>
    </row>
    <row r="29" spans="1:8" ht="13.5" thickBot="1" x14ac:dyDescent="0.25">
      <c r="A29" s="330">
        <v>4</v>
      </c>
      <c r="B29" s="330" t="s">
        <v>207</v>
      </c>
      <c r="C29" s="330" t="s">
        <v>380</v>
      </c>
      <c r="D29" s="331">
        <v>115000</v>
      </c>
      <c r="E29" s="331">
        <v>9556500</v>
      </c>
      <c r="F29" s="210">
        <v>4</v>
      </c>
      <c r="G29" s="209">
        <f t="shared" si="3"/>
        <v>38226000</v>
      </c>
      <c r="H29" s="98"/>
    </row>
    <row r="30" spans="1:8" ht="13.5" thickBot="1" x14ac:dyDescent="0.25">
      <c r="A30" s="330">
        <v>4</v>
      </c>
      <c r="B30" s="330" t="s">
        <v>207</v>
      </c>
      <c r="C30" s="330">
        <v>17</v>
      </c>
      <c r="D30" s="331">
        <v>117000</v>
      </c>
      <c r="E30" s="331">
        <v>9722700</v>
      </c>
      <c r="F30" s="210">
        <v>1</v>
      </c>
      <c r="G30" s="209">
        <f t="shared" si="3"/>
        <v>9722700</v>
      </c>
      <c r="H30" s="98"/>
    </row>
    <row r="31" spans="1:8" x14ac:dyDescent="0.2">
      <c r="A31" s="258" t="s">
        <v>208</v>
      </c>
      <c r="B31" s="258"/>
      <c r="C31" s="258"/>
      <c r="D31" s="258"/>
      <c r="E31" s="258"/>
      <c r="F31" s="258"/>
      <c r="G31" s="258"/>
    </row>
    <row r="32" spans="1:8" ht="13.5" thickBot="1" x14ac:dyDescent="0.25">
      <c r="A32" s="207" t="s">
        <v>6</v>
      </c>
      <c r="B32" s="207" t="s">
        <v>7</v>
      </c>
      <c r="C32" s="207" t="s">
        <v>10</v>
      </c>
      <c r="D32" s="208" t="s">
        <v>11</v>
      </c>
      <c r="E32" s="208" t="s">
        <v>12</v>
      </c>
      <c r="F32" s="207" t="s">
        <v>38</v>
      </c>
      <c r="G32" s="207" t="s">
        <v>32</v>
      </c>
    </row>
    <row r="33" spans="1:7" ht="13.5" thickBot="1" x14ac:dyDescent="0.25">
      <c r="A33" s="330">
        <v>2</v>
      </c>
      <c r="B33" s="330">
        <v>34</v>
      </c>
      <c r="C33" s="330">
        <v>4</v>
      </c>
      <c r="D33" s="331">
        <v>202000</v>
      </c>
      <c r="E33" s="331">
        <v>6868000</v>
      </c>
      <c r="F33" s="123">
        <v>1</v>
      </c>
      <c r="G33" s="210">
        <f t="shared" ref="G33:G96" si="4">F33*E33</f>
        <v>6868000</v>
      </c>
    </row>
    <row r="34" spans="1:7" ht="13.5" thickBot="1" x14ac:dyDescent="0.25">
      <c r="A34" s="330">
        <v>2</v>
      </c>
      <c r="B34" s="330">
        <v>34</v>
      </c>
      <c r="C34" s="330">
        <v>5</v>
      </c>
      <c r="D34" s="331">
        <v>203000</v>
      </c>
      <c r="E34" s="331">
        <v>6902000</v>
      </c>
      <c r="F34" s="123">
        <v>1</v>
      </c>
      <c r="G34" s="210">
        <f t="shared" si="4"/>
        <v>6902000</v>
      </c>
    </row>
    <row r="35" spans="1:7" ht="13.5" thickBot="1" x14ac:dyDescent="0.25">
      <c r="A35" s="330">
        <v>2</v>
      </c>
      <c r="B35" s="330">
        <v>34</v>
      </c>
      <c r="C35" s="330">
        <v>6</v>
      </c>
      <c r="D35" s="331">
        <v>204000</v>
      </c>
      <c r="E35" s="331">
        <v>6936000</v>
      </c>
      <c r="F35" s="123">
        <v>1</v>
      </c>
      <c r="G35" s="210">
        <f t="shared" si="4"/>
        <v>6936000</v>
      </c>
    </row>
    <row r="36" spans="1:7" ht="13.5" thickBot="1" x14ac:dyDescent="0.25">
      <c r="A36" s="330">
        <v>2</v>
      </c>
      <c r="B36" s="330">
        <v>34</v>
      </c>
      <c r="C36" s="330">
        <v>8</v>
      </c>
      <c r="D36" s="331">
        <v>206000</v>
      </c>
      <c r="E36" s="331">
        <v>7004000</v>
      </c>
      <c r="F36" s="123">
        <v>1</v>
      </c>
      <c r="G36" s="210">
        <f t="shared" si="4"/>
        <v>7004000</v>
      </c>
    </row>
    <row r="37" spans="1:7" ht="13.5" thickBot="1" x14ac:dyDescent="0.25">
      <c r="A37" s="330">
        <v>2</v>
      </c>
      <c r="B37" s="330">
        <v>34</v>
      </c>
      <c r="C37" s="330">
        <v>12</v>
      </c>
      <c r="D37" s="331">
        <v>210000</v>
      </c>
      <c r="E37" s="331">
        <v>7140000</v>
      </c>
      <c r="F37" s="123">
        <v>1</v>
      </c>
      <c r="G37" s="210">
        <f t="shared" si="4"/>
        <v>7140000</v>
      </c>
    </row>
    <row r="38" spans="1:7" ht="13.5" thickBot="1" x14ac:dyDescent="0.25">
      <c r="A38" s="330">
        <v>2</v>
      </c>
      <c r="B38" s="330">
        <v>34</v>
      </c>
      <c r="C38" s="330">
        <v>13</v>
      </c>
      <c r="D38" s="331">
        <v>211000</v>
      </c>
      <c r="E38" s="331">
        <v>7174000</v>
      </c>
      <c r="F38" s="123">
        <v>1</v>
      </c>
      <c r="G38" s="210">
        <f t="shared" si="4"/>
        <v>7174000</v>
      </c>
    </row>
    <row r="39" spans="1:7" ht="13.5" thickBot="1" x14ac:dyDescent="0.25">
      <c r="A39" s="330">
        <v>2</v>
      </c>
      <c r="B39" s="330">
        <v>34</v>
      </c>
      <c r="C39" s="330">
        <v>14</v>
      </c>
      <c r="D39" s="331">
        <v>212000</v>
      </c>
      <c r="E39" s="331">
        <v>7208000</v>
      </c>
      <c r="F39" s="123">
        <v>1</v>
      </c>
      <c r="G39" s="210">
        <f t="shared" si="4"/>
        <v>7208000</v>
      </c>
    </row>
    <row r="40" spans="1:7" ht="13.5" thickBot="1" x14ac:dyDescent="0.25">
      <c r="A40" s="330">
        <v>2</v>
      </c>
      <c r="B40" s="330" t="s">
        <v>209</v>
      </c>
      <c r="C40" s="330">
        <v>2</v>
      </c>
      <c r="D40" s="331">
        <v>200000</v>
      </c>
      <c r="E40" s="331">
        <v>6840000</v>
      </c>
      <c r="F40" s="123">
        <v>1</v>
      </c>
      <c r="G40" s="210">
        <f t="shared" si="4"/>
        <v>6840000</v>
      </c>
    </row>
    <row r="41" spans="1:7" ht="13.5" thickBot="1" x14ac:dyDescent="0.25">
      <c r="A41" s="330">
        <v>2</v>
      </c>
      <c r="B41" s="330" t="s">
        <v>210</v>
      </c>
      <c r="C41" s="330">
        <v>3</v>
      </c>
      <c r="D41" s="331">
        <v>201000</v>
      </c>
      <c r="E41" s="331">
        <v>6994800</v>
      </c>
      <c r="F41" s="123">
        <v>1</v>
      </c>
      <c r="G41" s="210">
        <f t="shared" si="4"/>
        <v>6994800</v>
      </c>
    </row>
    <row r="42" spans="1:7" ht="13.5" thickBot="1" x14ac:dyDescent="0.25">
      <c r="A42" s="330">
        <v>2</v>
      </c>
      <c r="B42" s="330" t="s">
        <v>210</v>
      </c>
      <c r="C42" s="330">
        <v>4</v>
      </c>
      <c r="D42" s="331">
        <v>202000</v>
      </c>
      <c r="E42" s="331">
        <v>7029600</v>
      </c>
      <c r="F42" s="123">
        <v>1</v>
      </c>
      <c r="G42" s="210">
        <f t="shared" si="4"/>
        <v>7029600</v>
      </c>
    </row>
    <row r="43" spans="1:7" ht="13.5" thickBot="1" x14ac:dyDescent="0.25">
      <c r="A43" s="330">
        <v>2</v>
      </c>
      <c r="B43" s="330" t="s">
        <v>210</v>
      </c>
      <c r="C43" s="330">
        <v>5</v>
      </c>
      <c r="D43" s="331">
        <v>203000</v>
      </c>
      <c r="E43" s="331">
        <v>7064400</v>
      </c>
      <c r="F43" s="123">
        <v>1</v>
      </c>
      <c r="G43" s="210">
        <f t="shared" si="4"/>
        <v>7064400</v>
      </c>
    </row>
    <row r="44" spans="1:7" ht="13.5" thickBot="1" x14ac:dyDescent="0.25">
      <c r="A44" s="330">
        <v>2</v>
      </c>
      <c r="B44" s="330" t="s">
        <v>210</v>
      </c>
      <c r="C44" s="330">
        <v>6</v>
      </c>
      <c r="D44" s="331">
        <v>204000</v>
      </c>
      <c r="E44" s="331">
        <v>7099200</v>
      </c>
      <c r="F44" s="123">
        <v>1</v>
      </c>
      <c r="G44" s="210">
        <f t="shared" si="4"/>
        <v>7099200</v>
      </c>
    </row>
    <row r="45" spans="1:7" ht="13.5" thickBot="1" x14ac:dyDescent="0.25">
      <c r="A45" s="330">
        <v>2</v>
      </c>
      <c r="B45" s="330" t="s">
        <v>210</v>
      </c>
      <c r="C45" s="330">
        <v>7</v>
      </c>
      <c r="D45" s="331">
        <v>205000</v>
      </c>
      <c r="E45" s="331">
        <v>7134000</v>
      </c>
      <c r="F45" s="123">
        <v>1</v>
      </c>
      <c r="G45" s="210">
        <f t="shared" si="4"/>
        <v>7134000</v>
      </c>
    </row>
    <row r="46" spans="1:7" ht="13.5" thickBot="1" x14ac:dyDescent="0.25">
      <c r="A46" s="330">
        <v>2</v>
      </c>
      <c r="B46" s="330" t="s">
        <v>210</v>
      </c>
      <c r="C46" s="330">
        <v>8</v>
      </c>
      <c r="D46" s="331">
        <v>206000</v>
      </c>
      <c r="E46" s="331">
        <v>7168800</v>
      </c>
      <c r="F46" s="123">
        <v>1</v>
      </c>
      <c r="G46" s="210">
        <f t="shared" si="4"/>
        <v>7168800</v>
      </c>
    </row>
    <row r="47" spans="1:7" ht="13.5" thickBot="1" x14ac:dyDescent="0.25">
      <c r="A47" s="330">
        <v>2</v>
      </c>
      <c r="B47" s="330" t="s">
        <v>210</v>
      </c>
      <c r="C47" s="330">
        <v>9</v>
      </c>
      <c r="D47" s="331">
        <v>207000</v>
      </c>
      <c r="E47" s="331">
        <v>7203600</v>
      </c>
      <c r="F47" s="123">
        <v>1</v>
      </c>
      <c r="G47" s="210">
        <f t="shared" si="4"/>
        <v>7203600</v>
      </c>
    </row>
    <row r="48" spans="1:7" ht="13.5" thickBot="1" x14ac:dyDescent="0.25">
      <c r="A48" s="330">
        <v>2</v>
      </c>
      <c r="B48" s="330" t="s">
        <v>210</v>
      </c>
      <c r="C48" s="330">
        <v>10</v>
      </c>
      <c r="D48" s="331">
        <v>208000</v>
      </c>
      <c r="E48" s="331">
        <v>7238400</v>
      </c>
      <c r="F48" s="123">
        <v>1</v>
      </c>
      <c r="G48" s="210">
        <f t="shared" si="4"/>
        <v>7238400</v>
      </c>
    </row>
    <row r="49" spans="1:7" ht="13.5" thickBot="1" x14ac:dyDescent="0.25">
      <c r="A49" s="330">
        <v>2</v>
      </c>
      <c r="B49" s="330" t="s">
        <v>210</v>
      </c>
      <c r="C49" s="330">
        <v>11</v>
      </c>
      <c r="D49" s="331">
        <v>209000</v>
      </c>
      <c r="E49" s="331">
        <v>7273200</v>
      </c>
      <c r="F49" s="123">
        <v>1</v>
      </c>
      <c r="G49" s="210">
        <f t="shared" si="4"/>
        <v>7273200</v>
      </c>
    </row>
    <row r="50" spans="1:7" ht="13.5" thickBot="1" x14ac:dyDescent="0.25">
      <c r="A50" s="330">
        <v>2</v>
      </c>
      <c r="B50" s="330" t="s">
        <v>210</v>
      </c>
      <c r="C50" s="330">
        <v>12</v>
      </c>
      <c r="D50" s="331">
        <v>210000</v>
      </c>
      <c r="E50" s="331">
        <v>7308000</v>
      </c>
      <c r="F50" s="123">
        <v>1</v>
      </c>
      <c r="G50" s="210">
        <f t="shared" si="4"/>
        <v>7308000</v>
      </c>
    </row>
    <row r="51" spans="1:7" ht="13.5" thickBot="1" x14ac:dyDescent="0.25">
      <c r="A51" s="330">
        <v>2</v>
      </c>
      <c r="B51" s="330" t="s">
        <v>210</v>
      </c>
      <c r="C51" s="330">
        <v>13</v>
      </c>
      <c r="D51" s="331">
        <v>211000</v>
      </c>
      <c r="E51" s="331">
        <v>7342800</v>
      </c>
      <c r="F51" s="123">
        <v>1</v>
      </c>
      <c r="G51" s="210">
        <f t="shared" si="4"/>
        <v>7342800</v>
      </c>
    </row>
    <row r="52" spans="1:7" ht="13.5" thickBot="1" x14ac:dyDescent="0.25">
      <c r="A52" s="330">
        <v>2</v>
      </c>
      <c r="B52" s="330" t="s">
        <v>210</v>
      </c>
      <c r="C52" s="330">
        <v>14</v>
      </c>
      <c r="D52" s="331">
        <v>212000</v>
      </c>
      <c r="E52" s="331">
        <v>7377600</v>
      </c>
      <c r="F52" s="123">
        <v>1</v>
      </c>
      <c r="G52" s="210">
        <f t="shared" si="4"/>
        <v>7377600</v>
      </c>
    </row>
    <row r="53" spans="1:7" ht="13.5" thickBot="1" x14ac:dyDescent="0.25">
      <c r="A53" s="330">
        <v>2</v>
      </c>
      <c r="B53" s="330" t="s">
        <v>211</v>
      </c>
      <c r="C53" s="330">
        <v>3</v>
      </c>
      <c r="D53" s="331">
        <v>201000</v>
      </c>
      <c r="E53" s="331">
        <v>7095300</v>
      </c>
      <c r="F53" s="123">
        <v>1</v>
      </c>
      <c r="G53" s="210">
        <f t="shared" si="4"/>
        <v>7095300</v>
      </c>
    </row>
    <row r="54" spans="1:7" ht="13.5" thickBot="1" x14ac:dyDescent="0.25">
      <c r="A54" s="330">
        <v>2</v>
      </c>
      <c r="B54" s="330" t="s">
        <v>211</v>
      </c>
      <c r="C54" s="330">
        <v>4</v>
      </c>
      <c r="D54" s="331">
        <v>202000</v>
      </c>
      <c r="E54" s="331">
        <v>7130600</v>
      </c>
      <c r="F54" s="123">
        <v>1</v>
      </c>
      <c r="G54" s="210">
        <f t="shared" si="4"/>
        <v>7130600</v>
      </c>
    </row>
    <row r="55" spans="1:7" ht="13.5" thickBot="1" x14ac:dyDescent="0.25">
      <c r="A55" s="330">
        <v>2</v>
      </c>
      <c r="B55" s="330" t="s">
        <v>211</v>
      </c>
      <c r="C55" s="330">
        <v>8</v>
      </c>
      <c r="D55" s="331">
        <v>206000</v>
      </c>
      <c r="E55" s="331">
        <v>7271800</v>
      </c>
      <c r="F55" s="123">
        <v>1</v>
      </c>
      <c r="G55" s="210">
        <f t="shared" si="4"/>
        <v>7271800</v>
      </c>
    </row>
    <row r="56" spans="1:7" ht="13.5" thickBot="1" x14ac:dyDescent="0.25">
      <c r="A56" s="330">
        <v>2</v>
      </c>
      <c r="B56" s="330" t="s">
        <v>211</v>
      </c>
      <c r="C56" s="330">
        <v>9</v>
      </c>
      <c r="D56" s="331">
        <v>207000</v>
      </c>
      <c r="E56" s="331">
        <v>7307100</v>
      </c>
      <c r="F56" s="123">
        <v>1</v>
      </c>
      <c r="G56" s="210">
        <f t="shared" si="4"/>
        <v>7307100</v>
      </c>
    </row>
    <row r="57" spans="1:7" ht="13.5" thickBot="1" x14ac:dyDescent="0.25">
      <c r="A57" s="330">
        <v>2</v>
      </c>
      <c r="B57" s="330" t="s">
        <v>211</v>
      </c>
      <c r="C57" s="330">
        <v>10</v>
      </c>
      <c r="D57" s="331">
        <v>208000</v>
      </c>
      <c r="E57" s="331">
        <v>7342400</v>
      </c>
      <c r="F57" s="123">
        <v>1</v>
      </c>
      <c r="G57" s="210">
        <f t="shared" si="4"/>
        <v>7342400</v>
      </c>
    </row>
    <row r="58" spans="1:7" ht="13.5" thickBot="1" x14ac:dyDescent="0.25">
      <c r="A58" s="330">
        <v>2</v>
      </c>
      <c r="B58" s="330" t="s">
        <v>211</v>
      </c>
      <c r="C58" s="330">
        <v>11</v>
      </c>
      <c r="D58" s="331">
        <v>209000</v>
      </c>
      <c r="E58" s="331">
        <v>7377700</v>
      </c>
      <c r="F58" s="123">
        <v>1</v>
      </c>
      <c r="G58" s="210">
        <f t="shared" si="4"/>
        <v>7377700</v>
      </c>
    </row>
    <row r="59" spans="1:7" ht="13.5" thickBot="1" x14ac:dyDescent="0.25">
      <c r="A59" s="330">
        <v>2</v>
      </c>
      <c r="B59" s="330" t="s">
        <v>211</v>
      </c>
      <c r="C59" s="330">
        <v>12</v>
      </c>
      <c r="D59" s="331">
        <v>210000</v>
      </c>
      <c r="E59" s="331">
        <v>7413000</v>
      </c>
      <c r="F59" s="123">
        <v>1</v>
      </c>
      <c r="G59" s="210">
        <f t="shared" si="4"/>
        <v>7413000</v>
      </c>
    </row>
    <row r="60" spans="1:7" ht="13.5" thickBot="1" x14ac:dyDescent="0.25">
      <c r="A60" s="330">
        <v>2</v>
      </c>
      <c r="B60" s="330" t="s">
        <v>211</v>
      </c>
      <c r="C60" s="330">
        <v>13</v>
      </c>
      <c r="D60" s="331">
        <v>211000</v>
      </c>
      <c r="E60" s="331">
        <v>7448300</v>
      </c>
      <c r="F60" s="123">
        <v>1</v>
      </c>
      <c r="G60" s="210">
        <f t="shared" si="4"/>
        <v>7448300</v>
      </c>
    </row>
    <row r="61" spans="1:7" ht="13.5" thickBot="1" x14ac:dyDescent="0.25">
      <c r="A61" s="330">
        <v>2</v>
      </c>
      <c r="B61" s="330" t="s">
        <v>211</v>
      </c>
      <c r="C61" s="330">
        <v>14</v>
      </c>
      <c r="D61" s="331">
        <v>212000</v>
      </c>
      <c r="E61" s="331">
        <v>7483600</v>
      </c>
      <c r="F61" s="123">
        <v>1</v>
      </c>
      <c r="G61" s="210">
        <f t="shared" si="4"/>
        <v>7483600</v>
      </c>
    </row>
    <row r="62" spans="1:7" ht="13.5" thickBot="1" x14ac:dyDescent="0.25">
      <c r="A62" s="330">
        <v>2</v>
      </c>
      <c r="B62" s="330" t="s">
        <v>212</v>
      </c>
      <c r="C62" s="330">
        <v>2</v>
      </c>
      <c r="D62" s="331">
        <v>200000</v>
      </c>
      <c r="E62" s="331">
        <v>7100000</v>
      </c>
      <c r="F62" s="123">
        <v>1</v>
      </c>
      <c r="G62" s="210">
        <f t="shared" si="4"/>
        <v>7100000</v>
      </c>
    </row>
    <row r="63" spans="1:7" ht="13.5" thickBot="1" x14ac:dyDescent="0.25">
      <c r="A63" s="330">
        <v>1</v>
      </c>
      <c r="B63" s="330" t="s">
        <v>213</v>
      </c>
      <c r="C63" s="330">
        <v>5</v>
      </c>
      <c r="D63" s="331">
        <v>198000</v>
      </c>
      <c r="E63" s="331">
        <v>7227000</v>
      </c>
      <c r="F63" s="123">
        <v>1</v>
      </c>
      <c r="G63" s="210">
        <f t="shared" si="4"/>
        <v>7227000</v>
      </c>
    </row>
    <row r="64" spans="1:7" ht="13.5" thickBot="1" x14ac:dyDescent="0.25">
      <c r="A64" s="330">
        <v>1</v>
      </c>
      <c r="B64" s="330" t="s">
        <v>213</v>
      </c>
      <c r="C64" s="330">
        <v>6</v>
      </c>
      <c r="D64" s="331">
        <v>199000</v>
      </c>
      <c r="E64" s="331">
        <v>7263500</v>
      </c>
      <c r="F64" s="123">
        <v>1</v>
      </c>
      <c r="G64" s="210">
        <f t="shared" si="4"/>
        <v>7263500</v>
      </c>
    </row>
    <row r="65" spans="1:7" ht="13.5" thickBot="1" x14ac:dyDescent="0.25">
      <c r="A65" s="330">
        <v>1</v>
      </c>
      <c r="B65" s="330" t="s">
        <v>213</v>
      </c>
      <c r="C65" s="330">
        <v>7</v>
      </c>
      <c r="D65" s="331">
        <v>200000</v>
      </c>
      <c r="E65" s="331">
        <v>7300000</v>
      </c>
      <c r="F65" s="123">
        <v>1</v>
      </c>
      <c r="G65" s="210">
        <f t="shared" si="4"/>
        <v>7300000</v>
      </c>
    </row>
    <row r="66" spans="1:7" ht="13.5" thickBot="1" x14ac:dyDescent="0.25">
      <c r="A66" s="330">
        <v>1</v>
      </c>
      <c r="B66" s="330" t="s">
        <v>213</v>
      </c>
      <c r="C66" s="330">
        <v>8</v>
      </c>
      <c r="D66" s="331">
        <v>201000</v>
      </c>
      <c r="E66" s="331">
        <v>7336500</v>
      </c>
      <c r="F66" s="123">
        <v>1</v>
      </c>
      <c r="G66" s="210">
        <f t="shared" si="4"/>
        <v>7336500</v>
      </c>
    </row>
    <row r="67" spans="1:7" ht="13.5" thickBot="1" x14ac:dyDescent="0.25">
      <c r="A67" s="330">
        <v>1</v>
      </c>
      <c r="B67" s="330" t="s">
        <v>213</v>
      </c>
      <c r="C67" s="330">
        <v>10</v>
      </c>
      <c r="D67" s="331">
        <v>203000</v>
      </c>
      <c r="E67" s="331">
        <v>7409500</v>
      </c>
      <c r="F67" s="123">
        <v>1</v>
      </c>
      <c r="G67" s="210">
        <f t="shared" si="4"/>
        <v>7409500</v>
      </c>
    </row>
    <row r="68" spans="1:7" ht="13.5" thickBot="1" x14ac:dyDescent="0.25">
      <c r="A68" s="330">
        <v>1</v>
      </c>
      <c r="B68" s="330" t="s">
        <v>213</v>
      </c>
      <c r="C68" s="330">
        <v>11</v>
      </c>
      <c r="D68" s="331">
        <v>204000</v>
      </c>
      <c r="E68" s="331">
        <v>7446000</v>
      </c>
      <c r="F68" s="123">
        <v>1</v>
      </c>
      <c r="G68" s="210">
        <f t="shared" si="4"/>
        <v>7446000</v>
      </c>
    </row>
    <row r="69" spans="1:7" ht="13.5" thickBot="1" x14ac:dyDescent="0.25">
      <c r="A69" s="330">
        <v>1</v>
      </c>
      <c r="B69" s="330" t="s">
        <v>213</v>
      </c>
      <c r="C69" s="330">
        <v>12</v>
      </c>
      <c r="D69" s="331">
        <v>205000</v>
      </c>
      <c r="E69" s="331">
        <v>7482500</v>
      </c>
      <c r="F69" s="123">
        <v>1</v>
      </c>
      <c r="G69" s="210">
        <f t="shared" si="4"/>
        <v>7482500</v>
      </c>
    </row>
    <row r="70" spans="1:7" ht="13.5" thickBot="1" x14ac:dyDescent="0.25">
      <c r="A70" s="330">
        <v>1</v>
      </c>
      <c r="B70" s="330" t="s">
        <v>213</v>
      </c>
      <c r="C70" s="330">
        <v>13</v>
      </c>
      <c r="D70" s="331">
        <v>206000</v>
      </c>
      <c r="E70" s="331">
        <v>7519000</v>
      </c>
      <c r="F70" s="123">
        <v>1</v>
      </c>
      <c r="G70" s="210">
        <f t="shared" si="4"/>
        <v>7519000</v>
      </c>
    </row>
    <row r="71" spans="1:7" ht="13.5" thickBot="1" x14ac:dyDescent="0.25">
      <c r="A71" s="330">
        <v>1</v>
      </c>
      <c r="B71" s="330" t="s">
        <v>213</v>
      </c>
      <c r="C71" s="330">
        <v>14</v>
      </c>
      <c r="D71" s="331">
        <v>207000</v>
      </c>
      <c r="E71" s="331">
        <v>7555500</v>
      </c>
      <c r="F71" s="123">
        <v>1</v>
      </c>
      <c r="G71" s="210">
        <f t="shared" si="4"/>
        <v>7555500</v>
      </c>
    </row>
    <row r="72" spans="1:7" ht="13.5" thickBot="1" x14ac:dyDescent="0.25">
      <c r="A72" s="330">
        <v>1</v>
      </c>
      <c r="B72" s="330" t="s">
        <v>213</v>
      </c>
      <c r="C72" s="330">
        <v>15</v>
      </c>
      <c r="D72" s="331">
        <v>208000</v>
      </c>
      <c r="E72" s="331">
        <v>7592000</v>
      </c>
      <c r="F72" s="123">
        <v>1</v>
      </c>
      <c r="G72" s="210">
        <f t="shared" si="4"/>
        <v>7592000</v>
      </c>
    </row>
    <row r="73" spans="1:7" ht="13.5" thickBot="1" x14ac:dyDescent="0.25">
      <c r="A73" s="330">
        <v>2</v>
      </c>
      <c r="B73" s="330" t="s">
        <v>214</v>
      </c>
      <c r="C73" s="330">
        <v>3</v>
      </c>
      <c r="D73" s="331">
        <v>199000</v>
      </c>
      <c r="E73" s="331">
        <v>9571900</v>
      </c>
      <c r="F73" s="123">
        <v>1</v>
      </c>
      <c r="G73" s="123">
        <f t="shared" si="4"/>
        <v>9571900</v>
      </c>
    </row>
    <row r="74" spans="1:7" ht="13.5" thickBot="1" x14ac:dyDescent="0.25">
      <c r="A74" s="330">
        <v>2</v>
      </c>
      <c r="B74" s="330" t="s">
        <v>214</v>
      </c>
      <c r="C74" s="330">
        <v>4</v>
      </c>
      <c r="D74" s="331">
        <v>200000</v>
      </c>
      <c r="E74" s="331">
        <v>9620000</v>
      </c>
      <c r="F74" s="123">
        <v>1</v>
      </c>
      <c r="G74" s="123">
        <f t="shared" si="4"/>
        <v>9620000</v>
      </c>
    </row>
    <row r="75" spans="1:7" ht="13.5" thickBot="1" x14ac:dyDescent="0.25">
      <c r="A75" s="330">
        <v>2</v>
      </c>
      <c r="B75" s="330" t="s">
        <v>214</v>
      </c>
      <c r="C75" s="330">
        <v>5</v>
      </c>
      <c r="D75" s="331">
        <v>201000</v>
      </c>
      <c r="E75" s="331">
        <v>9668100</v>
      </c>
      <c r="F75" s="123">
        <v>1</v>
      </c>
      <c r="G75" s="123">
        <f t="shared" si="4"/>
        <v>9668100</v>
      </c>
    </row>
    <row r="76" spans="1:7" ht="13.5" thickBot="1" x14ac:dyDescent="0.25">
      <c r="A76" s="330">
        <v>2</v>
      </c>
      <c r="B76" s="330" t="s">
        <v>214</v>
      </c>
      <c r="C76" s="330">
        <v>6</v>
      </c>
      <c r="D76" s="331">
        <v>202000</v>
      </c>
      <c r="E76" s="331">
        <v>9716200</v>
      </c>
      <c r="F76" s="123">
        <v>1</v>
      </c>
      <c r="G76" s="123">
        <f t="shared" si="4"/>
        <v>9716200</v>
      </c>
    </row>
    <row r="77" spans="1:7" ht="13.5" thickBot="1" x14ac:dyDescent="0.25">
      <c r="A77" s="330">
        <v>2</v>
      </c>
      <c r="B77" s="330" t="s">
        <v>214</v>
      </c>
      <c r="C77" s="330">
        <v>7</v>
      </c>
      <c r="D77" s="331">
        <v>203000</v>
      </c>
      <c r="E77" s="331">
        <v>9764300</v>
      </c>
      <c r="F77" s="123">
        <v>1</v>
      </c>
      <c r="G77" s="123">
        <f t="shared" si="4"/>
        <v>9764300</v>
      </c>
    </row>
    <row r="78" spans="1:7" ht="13.5" thickBot="1" x14ac:dyDescent="0.25">
      <c r="A78" s="330">
        <v>2</v>
      </c>
      <c r="B78" s="330" t="s">
        <v>214</v>
      </c>
      <c r="C78" s="330">
        <v>8</v>
      </c>
      <c r="D78" s="331">
        <v>204000</v>
      </c>
      <c r="E78" s="331">
        <v>9812400</v>
      </c>
      <c r="F78" s="123">
        <v>1</v>
      </c>
      <c r="G78" s="123">
        <f t="shared" si="4"/>
        <v>9812400</v>
      </c>
    </row>
    <row r="79" spans="1:7" ht="13.5" thickBot="1" x14ac:dyDescent="0.25">
      <c r="A79" s="330">
        <v>2</v>
      </c>
      <c r="B79" s="330" t="s">
        <v>214</v>
      </c>
      <c r="C79" s="330">
        <v>9</v>
      </c>
      <c r="D79" s="331">
        <v>205000</v>
      </c>
      <c r="E79" s="331">
        <v>9860500</v>
      </c>
      <c r="F79" s="123">
        <v>1</v>
      </c>
      <c r="G79" s="123">
        <f t="shared" si="4"/>
        <v>9860500</v>
      </c>
    </row>
    <row r="80" spans="1:7" ht="13.5" thickBot="1" x14ac:dyDescent="0.25">
      <c r="A80" s="330">
        <v>2</v>
      </c>
      <c r="B80" s="330" t="s">
        <v>189</v>
      </c>
      <c r="C80" s="330">
        <v>2</v>
      </c>
      <c r="D80" s="331">
        <v>198000</v>
      </c>
      <c r="E80" s="331">
        <v>9603000</v>
      </c>
      <c r="F80" s="123">
        <v>1</v>
      </c>
      <c r="G80" s="123">
        <f t="shared" si="4"/>
        <v>9603000</v>
      </c>
    </row>
    <row r="81" spans="1:7" ht="13.5" thickBot="1" x14ac:dyDescent="0.25">
      <c r="A81" s="330">
        <v>2</v>
      </c>
      <c r="B81" s="330" t="s">
        <v>215</v>
      </c>
      <c r="C81" s="330">
        <v>3</v>
      </c>
      <c r="D81" s="331">
        <v>196000</v>
      </c>
      <c r="E81" s="331">
        <v>9525600</v>
      </c>
      <c r="F81" s="123">
        <v>1</v>
      </c>
      <c r="G81" s="123">
        <f t="shared" si="4"/>
        <v>9525600</v>
      </c>
    </row>
    <row r="82" spans="1:7" ht="13.5" thickBot="1" x14ac:dyDescent="0.25">
      <c r="A82" s="330">
        <v>2</v>
      </c>
      <c r="B82" s="330" t="s">
        <v>215</v>
      </c>
      <c r="C82" s="330">
        <v>4</v>
      </c>
      <c r="D82" s="331">
        <v>197000</v>
      </c>
      <c r="E82" s="331">
        <v>9574200</v>
      </c>
      <c r="F82" s="123">
        <v>1</v>
      </c>
      <c r="G82" s="123">
        <f t="shared" si="4"/>
        <v>9574200</v>
      </c>
    </row>
    <row r="83" spans="1:7" ht="13.5" thickBot="1" x14ac:dyDescent="0.25">
      <c r="A83" s="330">
        <v>2</v>
      </c>
      <c r="B83" s="330" t="s">
        <v>215</v>
      </c>
      <c r="C83" s="330">
        <v>6</v>
      </c>
      <c r="D83" s="331">
        <v>199000</v>
      </c>
      <c r="E83" s="331">
        <v>9671400</v>
      </c>
      <c r="F83" s="123">
        <v>1</v>
      </c>
      <c r="G83" s="123">
        <f t="shared" si="4"/>
        <v>9671400</v>
      </c>
    </row>
    <row r="84" spans="1:7" ht="13.5" thickBot="1" x14ac:dyDescent="0.25">
      <c r="A84" s="330">
        <v>2</v>
      </c>
      <c r="B84" s="330" t="s">
        <v>215</v>
      </c>
      <c r="C84" s="330">
        <v>7</v>
      </c>
      <c r="D84" s="331">
        <v>200000</v>
      </c>
      <c r="E84" s="331">
        <v>9720000</v>
      </c>
      <c r="F84" s="123">
        <v>1</v>
      </c>
      <c r="G84" s="123">
        <f t="shared" si="4"/>
        <v>9720000</v>
      </c>
    </row>
    <row r="85" spans="1:7" ht="13.5" thickBot="1" x14ac:dyDescent="0.25">
      <c r="A85" s="330">
        <v>2</v>
      </c>
      <c r="B85" s="330" t="s">
        <v>215</v>
      </c>
      <c r="C85" s="330">
        <v>8</v>
      </c>
      <c r="D85" s="331">
        <v>201000</v>
      </c>
      <c r="E85" s="331">
        <v>9768600</v>
      </c>
      <c r="F85" s="123">
        <v>1</v>
      </c>
      <c r="G85" s="123">
        <f t="shared" si="4"/>
        <v>9768600</v>
      </c>
    </row>
    <row r="86" spans="1:7" ht="13.5" thickBot="1" x14ac:dyDescent="0.25">
      <c r="A86" s="330">
        <v>2</v>
      </c>
      <c r="B86" s="330" t="s">
        <v>215</v>
      </c>
      <c r="C86" s="330">
        <v>9</v>
      </c>
      <c r="D86" s="331">
        <v>202000</v>
      </c>
      <c r="E86" s="331">
        <v>9817200</v>
      </c>
      <c r="F86" s="123">
        <v>1</v>
      </c>
      <c r="G86" s="123">
        <f t="shared" si="4"/>
        <v>9817200</v>
      </c>
    </row>
    <row r="87" spans="1:7" ht="13.5" thickBot="1" x14ac:dyDescent="0.25">
      <c r="A87" s="330">
        <v>2</v>
      </c>
      <c r="B87" s="330" t="s">
        <v>215</v>
      </c>
      <c r="C87" s="330">
        <v>10</v>
      </c>
      <c r="D87" s="331">
        <v>203000</v>
      </c>
      <c r="E87" s="331">
        <v>9865800</v>
      </c>
      <c r="F87" s="123">
        <v>1</v>
      </c>
      <c r="G87" s="123">
        <f t="shared" si="4"/>
        <v>9865800</v>
      </c>
    </row>
    <row r="88" spans="1:7" ht="13.5" thickBot="1" x14ac:dyDescent="0.25">
      <c r="A88" s="330">
        <v>2</v>
      </c>
      <c r="B88" s="330" t="s">
        <v>215</v>
      </c>
      <c r="C88" s="330">
        <v>11</v>
      </c>
      <c r="D88" s="331">
        <v>204000</v>
      </c>
      <c r="E88" s="331">
        <v>9914400</v>
      </c>
      <c r="F88" s="123">
        <v>1</v>
      </c>
      <c r="G88" s="123">
        <f t="shared" si="4"/>
        <v>9914400</v>
      </c>
    </row>
    <row r="89" spans="1:7" ht="13.5" thickBot="1" x14ac:dyDescent="0.25">
      <c r="A89" s="330">
        <v>2</v>
      </c>
      <c r="B89" s="330" t="s">
        <v>215</v>
      </c>
      <c r="C89" s="330">
        <v>13</v>
      </c>
      <c r="D89" s="331">
        <v>206000</v>
      </c>
      <c r="E89" s="331">
        <v>10011600</v>
      </c>
      <c r="F89" s="123">
        <v>1</v>
      </c>
      <c r="G89" s="123">
        <f t="shared" si="4"/>
        <v>10011600</v>
      </c>
    </row>
    <row r="90" spans="1:7" ht="13.5" thickBot="1" x14ac:dyDescent="0.25">
      <c r="A90" s="330">
        <v>2</v>
      </c>
      <c r="B90" s="330" t="s">
        <v>215</v>
      </c>
      <c r="C90" s="330">
        <v>15</v>
      </c>
      <c r="D90" s="331">
        <v>208000</v>
      </c>
      <c r="E90" s="331">
        <v>10108800</v>
      </c>
      <c r="F90" s="123">
        <v>1</v>
      </c>
      <c r="G90" s="123">
        <f t="shared" si="4"/>
        <v>10108800</v>
      </c>
    </row>
    <row r="91" spans="1:7" ht="13.5" thickBot="1" x14ac:dyDescent="0.25">
      <c r="A91" s="330">
        <v>2</v>
      </c>
      <c r="B91" s="330" t="s">
        <v>216</v>
      </c>
      <c r="C91" s="330">
        <v>2</v>
      </c>
      <c r="D91" s="331">
        <v>195000</v>
      </c>
      <c r="E91" s="331">
        <v>9516000</v>
      </c>
      <c r="F91" s="123">
        <v>1</v>
      </c>
      <c r="G91" s="123">
        <f t="shared" si="4"/>
        <v>9516000</v>
      </c>
    </row>
    <row r="92" spans="1:7" ht="13.5" thickBot="1" x14ac:dyDescent="0.25">
      <c r="A92" s="330">
        <v>3</v>
      </c>
      <c r="B92" s="330" t="s">
        <v>217</v>
      </c>
      <c r="C92" s="330">
        <v>2</v>
      </c>
      <c r="D92" s="331">
        <v>190000</v>
      </c>
      <c r="E92" s="331">
        <v>10393000</v>
      </c>
      <c r="F92" s="123">
        <v>1</v>
      </c>
      <c r="G92" s="210">
        <f t="shared" si="4"/>
        <v>10393000</v>
      </c>
    </row>
    <row r="93" spans="1:7" ht="13.5" thickBot="1" x14ac:dyDescent="0.25">
      <c r="A93" s="330">
        <v>3</v>
      </c>
      <c r="B93" s="330" t="s">
        <v>217</v>
      </c>
      <c r="C93" s="330">
        <v>3</v>
      </c>
      <c r="D93" s="331">
        <v>191000</v>
      </c>
      <c r="E93" s="331">
        <v>10447700</v>
      </c>
      <c r="F93" s="123">
        <v>1</v>
      </c>
      <c r="G93" s="210">
        <f t="shared" si="4"/>
        <v>10447700</v>
      </c>
    </row>
    <row r="94" spans="1:7" ht="13.5" thickBot="1" x14ac:dyDescent="0.25">
      <c r="A94" s="330">
        <v>3</v>
      </c>
      <c r="B94" s="330" t="s">
        <v>217</v>
      </c>
      <c r="C94" s="330">
        <v>4</v>
      </c>
      <c r="D94" s="331">
        <v>192000</v>
      </c>
      <c r="E94" s="331">
        <v>10502400</v>
      </c>
      <c r="F94" s="123">
        <v>1</v>
      </c>
      <c r="G94" s="210">
        <f t="shared" si="4"/>
        <v>10502400</v>
      </c>
    </row>
    <row r="95" spans="1:7" ht="13.5" thickBot="1" x14ac:dyDescent="0.25">
      <c r="A95" s="330">
        <v>3</v>
      </c>
      <c r="B95" s="330" t="s">
        <v>217</v>
      </c>
      <c r="C95" s="330">
        <v>5</v>
      </c>
      <c r="D95" s="331">
        <v>193000</v>
      </c>
      <c r="E95" s="331">
        <v>10557100</v>
      </c>
      <c r="F95" s="123">
        <v>1</v>
      </c>
      <c r="G95" s="210">
        <f t="shared" si="4"/>
        <v>10557100</v>
      </c>
    </row>
    <row r="96" spans="1:7" ht="13.5" thickBot="1" x14ac:dyDescent="0.25">
      <c r="A96" s="330">
        <v>3</v>
      </c>
      <c r="B96" s="330" t="s">
        <v>217</v>
      </c>
      <c r="C96" s="330">
        <v>6</v>
      </c>
      <c r="D96" s="331">
        <v>194000</v>
      </c>
      <c r="E96" s="331">
        <v>10611800</v>
      </c>
      <c r="F96" s="123">
        <v>1</v>
      </c>
      <c r="G96" s="210">
        <f t="shared" si="4"/>
        <v>10611800</v>
      </c>
    </row>
    <row r="97" spans="1:7" ht="13.5" thickBot="1" x14ac:dyDescent="0.25">
      <c r="A97" s="330">
        <v>3</v>
      </c>
      <c r="B97" s="330" t="s">
        <v>217</v>
      </c>
      <c r="C97" s="330">
        <v>7</v>
      </c>
      <c r="D97" s="331">
        <v>195000</v>
      </c>
      <c r="E97" s="331">
        <v>10666500</v>
      </c>
      <c r="F97" s="123">
        <v>1</v>
      </c>
      <c r="G97" s="210">
        <f t="shared" ref="G97:G116" si="5">F97*E97</f>
        <v>10666500</v>
      </c>
    </row>
    <row r="98" spans="1:7" ht="13.5" thickBot="1" x14ac:dyDescent="0.25">
      <c r="A98" s="330">
        <v>3</v>
      </c>
      <c r="B98" s="330" t="s">
        <v>217</v>
      </c>
      <c r="C98" s="330">
        <v>8</v>
      </c>
      <c r="D98" s="331">
        <v>196000</v>
      </c>
      <c r="E98" s="331">
        <v>10721200</v>
      </c>
      <c r="F98" s="123">
        <v>1</v>
      </c>
      <c r="G98" s="210">
        <f t="shared" si="5"/>
        <v>10721200</v>
      </c>
    </row>
    <row r="99" spans="1:7" ht="13.5" thickBot="1" x14ac:dyDescent="0.25">
      <c r="A99" s="330">
        <v>3</v>
      </c>
      <c r="B99" s="330" t="s">
        <v>217</v>
      </c>
      <c r="C99" s="330">
        <v>9</v>
      </c>
      <c r="D99" s="331">
        <v>197000</v>
      </c>
      <c r="E99" s="331">
        <v>10775900</v>
      </c>
      <c r="F99" s="123">
        <v>1</v>
      </c>
      <c r="G99" s="210">
        <f t="shared" si="5"/>
        <v>10775900</v>
      </c>
    </row>
    <row r="100" spans="1:7" ht="13.5" thickBot="1" x14ac:dyDescent="0.25">
      <c r="A100" s="330">
        <v>3</v>
      </c>
      <c r="B100" s="330" t="s">
        <v>217</v>
      </c>
      <c r="C100" s="330">
        <v>10</v>
      </c>
      <c r="D100" s="331">
        <v>198000</v>
      </c>
      <c r="E100" s="331">
        <v>10830600</v>
      </c>
      <c r="F100" s="123">
        <v>1</v>
      </c>
      <c r="G100" s="210">
        <f t="shared" si="5"/>
        <v>10830600</v>
      </c>
    </row>
    <row r="101" spans="1:7" ht="13.5" thickBot="1" x14ac:dyDescent="0.25">
      <c r="A101" s="330">
        <v>3</v>
      </c>
      <c r="B101" s="330" t="s">
        <v>217</v>
      </c>
      <c r="C101" s="330">
        <v>11</v>
      </c>
      <c r="D101" s="331">
        <v>199000</v>
      </c>
      <c r="E101" s="331">
        <v>10885300</v>
      </c>
      <c r="F101" s="123">
        <v>1</v>
      </c>
      <c r="G101" s="210">
        <f t="shared" si="5"/>
        <v>10885300</v>
      </c>
    </row>
    <row r="102" spans="1:7" ht="13.5" thickBot="1" x14ac:dyDescent="0.25">
      <c r="A102" s="330">
        <v>3</v>
      </c>
      <c r="B102" s="330" t="s">
        <v>217</v>
      </c>
      <c r="C102" s="330">
        <v>12</v>
      </c>
      <c r="D102" s="331">
        <v>200000</v>
      </c>
      <c r="E102" s="331">
        <v>10940000</v>
      </c>
      <c r="F102" s="123">
        <v>1</v>
      </c>
      <c r="G102" s="210">
        <f t="shared" si="5"/>
        <v>10940000</v>
      </c>
    </row>
    <row r="103" spans="1:7" ht="13.5" thickBot="1" x14ac:dyDescent="0.25">
      <c r="A103" s="330">
        <v>3</v>
      </c>
      <c r="B103" s="330" t="s">
        <v>217</v>
      </c>
      <c r="C103" s="330">
        <v>13</v>
      </c>
      <c r="D103" s="331">
        <v>201000</v>
      </c>
      <c r="E103" s="331">
        <v>10994700</v>
      </c>
      <c r="F103" s="123">
        <v>1</v>
      </c>
      <c r="G103" s="210">
        <f t="shared" si="5"/>
        <v>10994700</v>
      </c>
    </row>
    <row r="104" spans="1:7" ht="13.5" thickBot="1" x14ac:dyDescent="0.25">
      <c r="A104" s="330">
        <v>4</v>
      </c>
      <c r="B104" s="330" t="s">
        <v>218</v>
      </c>
      <c r="C104" s="330">
        <v>3</v>
      </c>
      <c r="D104" s="331">
        <v>186000</v>
      </c>
      <c r="E104" s="331">
        <v>12573600</v>
      </c>
      <c r="F104" s="123">
        <v>1</v>
      </c>
      <c r="G104" s="210">
        <f t="shared" si="5"/>
        <v>12573600</v>
      </c>
    </row>
    <row r="105" spans="1:7" ht="13.5" thickBot="1" x14ac:dyDescent="0.25">
      <c r="A105" s="330">
        <v>4</v>
      </c>
      <c r="B105" s="330" t="s">
        <v>218</v>
      </c>
      <c r="C105" s="330">
        <v>4</v>
      </c>
      <c r="D105" s="331">
        <v>187000</v>
      </c>
      <c r="E105" s="331">
        <v>12641200</v>
      </c>
      <c r="F105" s="123">
        <v>1</v>
      </c>
      <c r="G105" s="210">
        <f t="shared" si="5"/>
        <v>12641200</v>
      </c>
    </row>
    <row r="106" spans="1:7" ht="13.5" thickBot="1" x14ac:dyDescent="0.25">
      <c r="A106" s="330">
        <v>4</v>
      </c>
      <c r="B106" s="330" t="s">
        <v>218</v>
      </c>
      <c r="C106" s="330">
        <v>5</v>
      </c>
      <c r="D106" s="331">
        <v>188000</v>
      </c>
      <c r="E106" s="331">
        <v>12708800</v>
      </c>
      <c r="F106" s="123">
        <v>1</v>
      </c>
      <c r="G106" s="210">
        <f t="shared" si="5"/>
        <v>12708800</v>
      </c>
    </row>
    <row r="107" spans="1:7" ht="13.5" thickBot="1" x14ac:dyDescent="0.25">
      <c r="A107" s="330">
        <v>4</v>
      </c>
      <c r="B107" s="330" t="s">
        <v>218</v>
      </c>
      <c r="C107" s="330">
        <v>6</v>
      </c>
      <c r="D107" s="331">
        <v>189000</v>
      </c>
      <c r="E107" s="331">
        <v>12776400</v>
      </c>
      <c r="F107" s="123">
        <v>1</v>
      </c>
      <c r="G107" s="210">
        <f t="shared" si="5"/>
        <v>12776400</v>
      </c>
    </row>
    <row r="108" spans="1:7" ht="13.5" thickBot="1" x14ac:dyDescent="0.25">
      <c r="A108" s="330">
        <v>4</v>
      </c>
      <c r="B108" s="330" t="s">
        <v>218</v>
      </c>
      <c r="C108" s="330">
        <v>7</v>
      </c>
      <c r="D108" s="331">
        <v>190000</v>
      </c>
      <c r="E108" s="331">
        <v>12844000</v>
      </c>
      <c r="F108" s="123">
        <v>1</v>
      </c>
      <c r="G108" s="210">
        <f t="shared" si="5"/>
        <v>12844000</v>
      </c>
    </row>
    <row r="109" spans="1:7" ht="13.5" thickBot="1" x14ac:dyDescent="0.25">
      <c r="A109" s="330">
        <v>4</v>
      </c>
      <c r="B109" s="330" t="s">
        <v>218</v>
      </c>
      <c r="C109" s="330">
        <v>8</v>
      </c>
      <c r="D109" s="331">
        <v>191000</v>
      </c>
      <c r="E109" s="331">
        <v>12911600</v>
      </c>
      <c r="F109" s="123">
        <v>1</v>
      </c>
      <c r="G109" s="210">
        <f t="shared" si="5"/>
        <v>12911600</v>
      </c>
    </row>
    <row r="110" spans="1:7" ht="13.5" thickBot="1" x14ac:dyDescent="0.25">
      <c r="A110" s="330">
        <v>4</v>
      </c>
      <c r="B110" s="330" t="s">
        <v>218</v>
      </c>
      <c r="C110" s="330">
        <v>9</v>
      </c>
      <c r="D110" s="331">
        <v>192000</v>
      </c>
      <c r="E110" s="331">
        <v>12979200</v>
      </c>
      <c r="F110" s="123">
        <v>1</v>
      </c>
      <c r="G110" s="210">
        <f t="shared" si="5"/>
        <v>12979200</v>
      </c>
    </row>
    <row r="111" spans="1:7" ht="13.5" thickBot="1" x14ac:dyDescent="0.25">
      <c r="A111" s="330">
        <v>4</v>
      </c>
      <c r="B111" s="330" t="s">
        <v>218</v>
      </c>
      <c r="C111" s="330">
        <v>10</v>
      </c>
      <c r="D111" s="331">
        <v>193000</v>
      </c>
      <c r="E111" s="331">
        <v>13046800</v>
      </c>
      <c r="F111" s="123">
        <v>1</v>
      </c>
      <c r="G111" s="210">
        <f t="shared" si="5"/>
        <v>13046800</v>
      </c>
    </row>
    <row r="112" spans="1:7" ht="13.5" thickBot="1" x14ac:dyDescent="0.25">
      <c r="A112" s="330">
        <v>4</v>
      </c>
      <c r="B112" s="330" t="s">
        <v>218</v>
      </c>
      <c r="C112" s="330">
        <v>11</v>
      </c>
      <c r="D112" s="331">
        <v>194000</v>
      </c>
      <c r="E112" s="331">
        <v>13114400</v>
      </c>
      <c r="F112" s="123">
        <v>1</v>
      </c>
      <c r="G112" s="210">
        <f t="shared" si="5"/>
        <v>13114400</v>
      </c>
    </row>
    <row r="113" spans="1:7" ht="13.5" thickBot="1" x14ac:dyDescent="0.25">
      <c r="A113" s="330">
        <v>4</v>
      </c>
      <c r="B113" s="330" t="s">
        <v>218</v>
      </c>
      <c r="C113" s="330">
        <v>12</v>
      </c>
      <c r="D113" s="331">
        <v>195000</v>
      </c>
      <c r="E113" s="331">
        <v>13182000</v>
      </c>
      <c r="F113" s="123">
        <v>1</v>
      </c>
      <c r="G113" s="210">
        <f t="shared" si="5"/>
        <v>13182000</v>
      </c>
    </row>
    <row r="114" spans="1:7" ht="13.5" thickBot="1" x14ac:dyDescent="0.25">
      <c r="A114" s="330">
        <v>4</v>
      </c>
      <c r="B114" s="330" t="s">
        <v>218</v>
      </c>
      <c r="C114" s="330">
        <v>13</v>
      </c>
      <c r="D114" s="331">
        <v>196000</v>
      </c>
      <c r="E114" s="331">
        <v>13249600</v>
      </c>
      <c r="F114" s="123">
        <v>1</v>
      </c>
      <c r="G114" s="210">
        <f t="shared" si="5"/>
        <v>13249600</v>
      </c>
    </row>
    <row r="115" spans="1:7" ht="13.5" thickBot="1" x14ac:dyDescent="0.25">
      <c r="A115" s="330">
        <v>4</v>
      </c>
      <c r="B115" s="330" t="s">
        <v>218</v>
      </c>
      <c r="C115" s="330">
        <v>14</v>
      </c>
      <c r="D115" s="331">
        <v>197000</v>
      </c>
      <c r="E115" s="331">
        <v>13317200</v>
      </c>
      <c r="F115" s="123">
        <v>1</v>
      </c>
      <c r="G115" s="210">
        <f t="shared" si="5"/>
        <v>13317200</v>
      </c>
    </row>
    <row r="116" spans="1:7" ht="13.5" thickBot="1" x14ac:dyDescent="0.25">
      <c r="A116" s="330">
        <v>4</v>
      </c>
      <c r="B116" s="330" t="s">
        <v>219</v>
      </c>
      <c r="C116" s="330">
        <v>2</v>
      </c>
      <c r="D116" s="331">
        <v>185000</v>
      </c>
      <c r="E116" s="331">
        <v>12543000</v>
      </c>
      <c r="F116" s="123">
        <v>1</v>
      </c>
      <c r="G116" s="210">
        <f t="shared" si="5"/>
        <v>12543000</v>
      </c>
    </row>
    <row r="117" spans="1:7" ht="13.5" thickBot="1" x14ac:dyDescent="0.25">
      <c r="A117" s="330">
        <v>4</v>
      </c>
      <c r="B117" s="330" t="s">
        <v>220</v>
      </c>
      <c r="C117" s="330">
        <v>3</v>
      </c>
      <c r="D117" s="331">
        <v>181000</v>
      </c>
      <c r="E117" s="331">
        <v>13194900</v>
      </c>
      <c r="F117" s="123">
        <v>1</v>
      </c>
      <c r="G117" s="123">
        <f>F117*E117</f>
        <v>13194900</v>
      </c>
    </row>
    <row r="118" spans="1:7" ht="13.5" thickBot="1" x14ac:dyDescent="0.25">
      <c r="A118" s="330">
        <v>4</v>
      </c>
      <c r="B118" s="330" t="s">
        <v>220</v>
      </c>
      <c r="C118" s="330">
        <v>4</v>
      </c>
      <c r="D118" s="331">
        <v>182000</v>
      </c>
      <c r="E118" s="331">
        <v>13267800</v>
      </c>
      <c r="F118" s="123">
        <v>1</v>
      </c>
      <c r="G118" s="123">
        <f t="shared" ref="G118:G140" si="6">F118*E118</f>
        <v>13267800</v>
      </c>
    </row>
    <row r="119" spans="1:7" ht="13.5" thickBot="1" x14ac:dyDescent="0.25">
      <c r="A119" s="330">
        <v>4</v>
      </c>
      <c r="B119" s="330" t="s">
        <v>220</v>
      </c>
      <c r="C119" s="330">
        <v>5</v>
      </c>
      <c r="D119" s="331">
        <v>183000</v>
      </c>
      <c r="E119" s="331">
        <v>13340700</v>
      </c>
      <c r="F119" s="123">
        <v>1</v>
      </c>
      <c r="G119" s="123">
        <f t="shared" si="6"/>
        <v>13340700</v>
      </c>
    </row>
    <row r="120" spans="1:7" ht="13.5" thickBot="1" x14ac:dyDescent="0.25">
      <c r="A120" s="330">
        <v>4</v>
      </c>
      <c r="B120" s="330" t="s">
        <v>220</v>
      </c>
      <c r="C120" s="330">
        <v>6</v>
      </c>
      <c r="D120" s="331">
        <v>184000</v>
      </c>
      <c r="E120" s="331">
        <v>13413600</v>
      </c>
      <c r="F120" s="123">
        <v>1</v>
      </c>
      <c r="G120" s="123">
        <f t="shared" si="6"/>
        <v>13413600</v>
      </c>
    </row>
    <row r="121" spans="1:7" ht="13.5" thickBot="1" x14ac:dyDescent="0.25">
      <c r="A121" s="330">
        <v>4</v>
      </c>
      <c r="B121" s="330" t="s">
        <v>220</v>
      </c>
      <c r="C121" s="330">
        <v>7</v>
      </c>
      <c r="D121" s="331">
        <v>185000</v>
      </c>
      <c r="E121" s="331">
        <v>13486500</v>
      </c>
      <c r="F121" s="123">
        <v>1</v>
      </c>
      <c r="G121" s="123">
        <f t="shared" si="6"/>
        <v>13486500</v>
      </c>
    </row>
    <row r="122" spans="1:7" ht="13.5" thickBot="1" x14ac:dyDescent="0.25">
      <c r="A122" s="330">
        <v>4</v>
      </c>
      <c r="B122" s="330" t="s">
        <v>220</v>
      </c>
      <c r="C122" s="330">
        <v>8</v>
      </c>
      <c r="D122" s="331">
        <v>186000</v>
      </c>
      <c r="E122" s="331">
        <v>13559400</v>
      </c>
      <c r="F122" s="123">
        <v>1</v>
      </c>
      <c r="G122" s="123">
        <f t="shared" si="6"/>
        <v>13559400</v>
      </c>
    </row>
    <row r="123" spans="1:7" ht="13.5" thickBot="1" x14ac:dyDescent="0.25">
      <c r="A123" s="330">
        <v>4</v>
      </c>
      <c r="B123" s="330" t="s">
        <v>220</v>
      </c>
      <c r="C123" s="330">
        <v>9</v>
      </c>
      <c r="D123" s="331">
        <v>187000</v>
      </c>
      <c r="E123" s="331">
        <v>13632300</v>
      </c>
      <c r="F123" s="123">
        <v>1</v>
      </c>
      <c r="G123" s="123">
        <f t="shared" si="6"/>
        <v>13632300</v>
      </c>
    </row>
    <row r="124" spans="1:7" ht="13.5" thickBot="1" x14ac:dyDescent="0.25">
      <c r="A124" s="330">
        <v>4</v>
      </c>
      <c r="B124" s="330" t="s">
        <v>220</v>
      </c>
      <c r="C124" s="330">
        <v>12</v>
      </c>
      <c r="D124" s="331">
        <v>190000</v>
      </c>
      <c r="E124" s="331">
        <v>13851000</v>
      </c>
      <c r="F124" s="123">
        <v>1</v>
      </c>
      <c r="G124" s="123">
        <f t="shared" si="6"/>
        <v>13851000</v>
      </c>
    </row>
    <row r="125" spans="1:7" ht="13.5" thickBot="1" x14ac:dyDescent="0.25">
      <c r="A125" s="330">
        <v>4</v>
      </c>
      <c r="B125" s="330" t="s">
        <v>220</v>
      </c>
      <c r="C125" s="330">
        <v>13</v>
      </c>
      <c r="D125" s="331">
        <v>191000</v>
      </c>
      <c r="E125" s="331">
        <v>13923900</v>
      </c>
      <c r="F125" s="123">
        <v>1</v>
      </c>
      <c r="G125" s="123">
        <f t="shared" si="6"/>
        <v>13923900</v>
      </c>
    </row>
    <row r="126" spans="1:7" ht="13.5" thickBot="1" x14ac:dyDescent="0.25">
      <c r="A126" s="330">
        <v>4</v>
      </c>
      <c r="B126" s="330" t="s">
        <v>220</v>
      </c>
      <c r="C126" s="330">
        <v>14</v>
      </c>
      <c r="D126" s="331">
        <v>192000</v>
      </c>
      <c r="E126" s="331">
        <v>13996800</v>
      </c>
      <c r="F126" s="123">
        <v>1</v>
      </c>
      <c r="G126" s="123">
        <f t="shared" si="6"/>
        <v>13996800</v>
      </c>
    </row>
    <row r="127" spans="1:7" ht="13.5" thickBot="1" x14ac:dyDescent="0.25">
      <c r="A127" s="330">
        <v>4</v>
      </c>
      <c r="B127" s="330" t="s">
        <v>220</v>
      </c>
      <c r="C127" s="330">
        <v>15</v>
      </c>
      <c r="D127" s="331">
        <v>193000</v>
      </c>
      <c r="E127" s="331">
        <v>14069700</v>
      </c>
      <c r="F127" s="123">
        <v>1</v>
      </c>
      <c r="G127" s="123">
        <f t="shared" si="6"/>
        <v>14069700</v>
      </c>
    </row>
    <row r="128" spans="1:7" ht="13.5" thickBot="1" x14ac:dyDescent="0.25">
      <c r="A128" s="330">
        <v>4</v>
      </c>
      <c r="B128" s="330" t="s">
        <v>221</v>
      </c>
      <c r="C128" s="330">
        <v>2</v>
      </c>
      <c r="D128" s="331">
        <v>180000</v>
      </c>
      <c r="E128" s="331">
        <v>13230000</v>
      </c>
      <c r="F128" s="123">
        <v>1</v>
      </c>
      <c r="G128" s="123">
        <f t="shared" si="6"/>
        <v>13230000</v>
      </c>
    </row>
    <row r="129" spans="1:8" ht="13.5" thickBot="1" x14ac:dyDescent="0.25">
      <c r="A129" s="330">
        <v>4</v>
      </c>
      <c r="B129" s="330" t="s">
        <v>222</v>
      </c>
      <c r="C129" s="330">
        <v>4</v>
      </c>
      <c r="D129" s="331">
        <v>180000</v>
      </c>
      <c r="E129" s="331">
        <v>15858000</v>
      </c>
      <c r="F129" s="123">
        <v>1</v>
      </c>
      <c r="G129" s="209">
        <f t="shared" si="6"/>
        <v>15858000</v>
      </c>
      <c r="H129" s="98"/>
    </row>
    <row r="130" spans="1:8" ht="13.5" thickBot="1" x14ac:dyDescent="0.25">
      <c r="A130" s="330">
        <v>4</v>
      </c>
      <c r="B130" s="330" t="s">
        <v>222</v>
      </c>
      <c r="C130" s="330">
        <v>5</v>
      </c>
      <c r="D130" s="331">
        <v>181000</v>
      </c>
      <c r="E130" s="331">
        <v>15946100</v>
      </c>
      <c r="F130" s="123">
        <v>1</v>
      </c>
      <c r="G130" s="209">
        <f t="shared" si="6"/>
        <v>15946100</v>
      </c>
      <c r="H130" s="98"/>
    </row>
    <row r="131" spans="1:8" ht="13.5" thickBot="1" x14ac:dyDescent="0.25">
      <c r="A131" s="330">
        <v>4</v>
      </c>
      <c r="B131" s="330" t="s">
        <v>222</v>
      </c>
      <c r="C131" s="330">
        <v>6</v>
      </c>
      <c r="D131" s="331">
        <v>182000</v>
      </c>
      <c r="E131" s="331">
        <v>16034200</v>
      </c>
      <c r="F131" s="123">
        <v>1</v>
      </c>
      <c r="G131" s="209">
        <f t="shared" si="6"/>
        <v>16034200</v>
      </c>
      <c r="H131" s="98"/>
    </row>
    <row r="132" spans="1:8" ht="13.5" thickBot="1" x14ac:dyDescent="0.25">
      <c r="A132" s="330">
        <v>4</v>
      </c>
      <c r="B132" s="330" t="s">
        <v>222</v>
      </c>
      <c r="C132" s="330">
        <v>7</v>
      </c>
      <c r="D132" s="331">
        <v>183000</v>
      </c>
      <c r="E132" s="331">
        <v>16122300</v>
      </c>
      <c r="F132" s="123">
        <v>1</v>
      </c>
      <c r="G132" s="209">
        <f t="shared" si="6"/>
        <v>16122300</v>
      </c>
      <c r="H132" s="98"/>
    </row>
    <row r="133" spans="1:8" ht="13.5" thickBot="1" x14ac:dyDescent="0.25">
      <c r="A133" s="330">
        <v>4</v>
      </c>
      <c r="B133" s="330" t="s">
        <v>222</v>
      </c>
      <c r="C133" s="330">
        <v>8</v>
      </c>
      <c r="D133" s="331">
        <v>184000</v>
      </c>
      <c r="E133" s="331">
        <v>16210400</v>
      </c>
      <c r="F133" s="123">
        <v>1</v>
      </c>
      <c r="G133" s="209">
        <f t="shared" si="6"/>
        <v>16210400</v>
      </c>
      <c r="H133" s="98"/>
    </row>
    <row r="134" spans="1:8" ht="13.5" thickBot="1" x14ac:dyDescent="0.25">
      <c r="A134" s="330">
        <v>4</v>
      </c>
      <c r="B134" s="330" t="s">
        <v>222</v>
      </c>
      <c r="C134" s="330">
        <v>9</v>
      </c>
      <c r="D134" s="331">
        <v>185000</v>
      </c>
      <c r="E134" s="331">
        <v>16298500</v>
      </c>
      <c r="F134" s="123">
        <v>1</v>
      </c>
      <c r="G134" s="209">
        <f t="shared" si="6"/>
        <v>16298500</v>
      </c>
      <c r="H134" s="98"/>
    </row>
    <row r="135" spans="1:8" ht="13.5" thickBot="1" x14ac:dyDescent="0.25">
      <c r="A135" s="330">
        <v>4</v>
      </c>
      <c r="B135" s="330" t="s">
        <v>222</v>
      </c>
      <c r="C135" s="330">
        <v>10</v>
      </c>
      <c r="D135" s="331">
        <v>186000</v>
      </c>
      <c r="E135" s="331">
        <v>16386600</v>
      </c>
      <c r="F135" s="123">
        <v>1</v>
      </c>
      <c r="G135" s="209">
        <f t="shared" si="6"/>
        <v>16386600</v>
      </c>
      <c r="H135" s="98"/>
    </row>
    <row r="136" spans="1:8" ht="13.5" thickBot="1" x14ac:dyDescent="0.25">
      <c r="A136" s="330">
        <v>4</v>
      </c>
      <c r="B136" s="330" t="s">
        <v>222</v>
      </c>
      <c r="C136" s="330">
        <v>11</v>
      </c>
      <c r="D136" s="331">
        <v>187000</v>
      </c>
      <c r="E136" s="331">
        <v>16474700</v>
      </c>
      <c r="F136" s="123">
        <v>1</v>
      </c>
      <c r="G136" s="209">
        <f t="shared" si="6"/>
        <v>16474700</v>
      </c>
      <c r="H136" s="98"/>
    </row>
    <row r="137" spans="1:8" ht="13.5" thickBot="1" x14ac:dyDescent="0.25">
      <c r="A137" s="330">
        <v>4</v>
      </c>
      <c r="B137" s="330" t="s">
        <v>222</v>
      </c>
      <c r="C137" s="330">
        <v>12</v>
      </c>
      <c r="D137" s="331">
        <v>188000</v>
      </c>
      <c r="E137" s="331">
        <v>16562800</v>
      </c>
      <c r="F137" s="123">
        <v>1</v>
      </c>
      <c r="G137" s="209">
        <f t="shared" si="6"/>
        <v>16562800</v>
      </c>
      <c r="H137" s="98"/>
    </row>
    <row r="138" spans="1:8" ht="13.5" thickBot="1" x14ac:dyDescent="0.25">
      <c r="A138" s="330">
        <v>4</v>
      </c>
      <c r="B138" s="330" t="s">
        <v>222</v>
      </c>
      <c r="C138" s="330">
        <v>13</v>
      </c>
      <c r="D138" s="331">
        <v>189000</v>
      </c>
      <c r="E138" s="331">
        <v>16650900</v>
      </c>
      <c r="F138" s="123">
        <v>1</v>
      </c>
      <c r="G138" s="209">
        <f t="shared" si="6"/>
        <v>16650900</v>
      </c>
      <c r="H138" s="98"/>
    </row>
    <row r="139" spans="1:8" ht="13.5" thickBot="1" x14ac:dyDescent="0.25">
      <c r="A139" s="330">
        <v>4</v>
      </c>
      <c r="B139" s="330" t="s">
        <v>222</v>
      </c>
      <c r="C139" s="330">
        <v>14</v>
      </c>
      <c r="D139" s="331">
        <v>190000</v>
      </c>
      <c r="E139" s="331">
        <v>16739000</v>
      </c>
      <c r="F139" s="123">
        <v>1</v>
      </c>
      <c r="G139" s="209">
        <f t="shared" si="6"/>
        <v>16739000</v>
      </c>
      <c r="H139" s="98"/>
    </row>
    <row r="140" spans="1:8" ht="13.5" thickBot="1" x14ac:dyDescent="0.25">
      <c r="A140" s="330">
        <v>4</v>
      </c>
      <c r="B140" s="330" t="s">
        <v>223</v>
      </c>
      <c r="C140" s="330">
        <v>2</v>
      </c>
      <c r="D140" s="331">
        <v>178000</v>
      </c>
      <c r="E140" s="331">
        <v>15788600</v>
      </c>
      <c r="F140" s="123"/>
      <c r="G140" s="209">
        <f t="shared" si="6"/>
        <v>0</v>
      </c>
      <c r="H140" s="98"/>
    </row>
    <row r="141" spans="1:8" x14ac:dyDescent="0.2">
      <c r="A141" s="258" t="s">
        <v>224</v>
      </c>
      <c r="B141" s="258"/>
      <c r="C141" s="258"/>
      <c r="D141" s="258"/>
      <c r="E141" s="258"/>
      <c r="F141" s="258"/>
      <c r="G141" s="258"/>
    </row>
    <row r="142" spans="1:8" ht="13.5" thickBot="1" x14ac:dyDescent="0.25">
      <c r="A142" s="207" t="s">
        <v>6</v>
      </c>
      <c r="B142" s="207" t="s">
        <v>7</v>
      </c>
      <c r="C142" s="207" t="s">
        <v>10</v>
      </c>
      <c r="D142" s="208" t="s">
        <v>11</v>
      </c>
      <c r="E142" s="208" t="s">
        <v>12</v>
      </c>
      <c r="F142" s="207" t="s">
        <v>38</v>
      </c>
      <c r="G142" s="207" t="s">
        <v>32</v>
      </c>
    </row>
    <row r="143" spans="1:8" ht="13.5" thickBot="1" x14ac:dyDescent="0.25">
      <c r="A143" s="330">
        <v>1</v>
      </c>
      <c r="B143" s="330" t="s">
        <v>225</v>
      </c>
      <c r="C143" s="330" t="s">
        <v>234</v>
      </c>
      <c r="D143" s="331">
        <v>128000</v>
      </c>
      <c r="E143" s="331">
        <v>3353600</v>
      </c>
      <c r="F143" s="123">
        <v>2</v>
      </c>
      <c r="G143" s="123">
        <f>F143*E143</f>
        <v>6707200</v>
      </c>
    </row>
    <row r="144" spans="1:8" ht="13.5" thickBot="1" x14ac:dyDescent="0.25">
      <c r="A144" s="330">
        <v>1</v>
      </c>
      <c r="B144" s="330" t="s">
        <v>225</v>
      </c>
      <c r="C144" s="330">
        <v>17</v>
      </c>
      <c r="D144" s="331">
        <v>130000</v>
      </c>
      <c r="E144" s="331">
        <v>3406000</v>
      </c>
      <c r="F144" s="123">
        <v>1</v>
      </c>
      <c r="G144" s="123">
        <f>F144*E144</f>
        <v>3406000</v>
      </c>
    </row>
    <row r="145" spans="1:7" ht="13.5" thickBot="1" x14ac:dyDescent="0.25">
      <c r="A145" s="330">
        <v>2</v>
      </c>
      <c r="B145" s="330" t="s">
        <v>216</v>
      </c>
      <c r="C145" s="330">
        <v>14</v>
      </c>
      <c r="D145" s="331">
        <v>116000</v>
      </c>
      <c r="E145" s="331">
        <v>5660800</v>
      </c>
      <c r="F145" s="123">
        <v>1</v>
      </c>
      <c r="G145" s="123">
        <f t="shared" ref="G145:G146" si="7">F145*E145</f>
        <v>5660800</v>
      </c>
    </row>
    <row r="146" spans="1:7" ht="13.5" thickBot="1" x14ac:dyDescent="0.25">
      <c r="A146" s="330">
        <v>1</v>
      </c>
      <c r="B146" s="330">
        <v>49</v>
      </c>
      <c r="C146" s="330">
        <v>2</v>
      </c>
      <c r="D146" s="331">
        <v>114000</v>
      </c>
      <c r="E146" s="331">
        <v>5586000</v>
      </c>
      <c r="F146" s="123">
        <v>1</v>
      </c>
      <c r="G146" s="123">
        <f t="shared" si="7"/>
        <v>5586000</v>
      </c>
    </row>
    <row r="147" spans="1:7" ht="26.25" thickBot="1" x14ac:dyDescent="0.25">
      <c r="A147" s="330">
        <v>2</v>
      </c>
      <c r="B147" s="330" t="s">
        <v>226</v>
      </c>
      <c r="C147" s="330" t="s">
        <v>381</v>
      </c>
      <c r="D147" s="331">
        <v>112000</v>
      </c>
      <c r="E147" s="331">
        <v>6462400</v>
      </c>
      <c r="F147" s="123">
        <v>9</v>
      </c>
      <c r="G147" s="210">
        <f>F147*E147</f>
        <v>58161600</v>
      </c>
    </row>
    <row r="148" spans="1:7" ht="13.5" thickBot="1" x14ac:dyDescent="0.25">
      <c r="A148" s="330">
        <v>2</v>
      </c>
      <c r="B148" s="330" t="s">
        <v>227</v>
      </c>
      <c r="C148" s="330" t="s">
        <v>201</v>
      </c>
      <c r="D148" s="331">
        <v>111000</v>
      </c>
      <c r="E148" s="331">
        <v>7492500</v>
      </c>
      <c r="F148" s="123">
        <v>3</v>
      </c>
      <c r="G148" s="210">
        <f t="shared" ref="G148:G149" si="8">F148*E148</f>
        <v>22477500</v>
      </c>
    </row>
    <row r="149" spans="1:7" ht="13.5" thickBot="1" x14ac:dyDescent="0.25">
      <c r="A149" s="330">
        <v>2</v>
      </c>
      <c r="B149" s="330" t="s">
        <v>276</v>
      </c>
      <c r="C149" s="330">
        <v>2</v>
      </c>
      <c r="D149" s="331">
        <v>110000</v>
      </c>
      <c r="E149" s="331">
        <v>7447000</v>
      </c>
      <c r="F149" s="123">
        <v>1</v>
      </c>
      <c r="G149" s="210">
        <f t="shared" si="8"/>
        <v>7447000</v>
      </c>
    </row>
    <row r="150" spans="1:7" x14ac:dyDescent="0.2">
      <c r="A150" s="258" t="s">
        <v>228</v>
      </c>
      <c r="B150" s="258"/>
      <c r="C150" s="258"/>
      <c r="D150" s="258"/>
      <c r="E150" s="258"/>
      <c r="F150" s="258"/>
      <c r="G150" s="258"/>
    </row>
    <row r="151" spans="1:7" ht="13.5" thickBot="1" x14ac:dyDescent="0.25">
      <c r="A151" s="207" t="s">
        <v>6</v>
      </c>
      <c r="B151" s="207" t="s">
        <v>7</v>
      </c>
      <c r="C151" s="207" t="s">
        <v>10</v>
      </c>
      <c r="D151" s="208" t="s">
        <v>11</v>
      </c>
      <c r="E151" s="208" t="s">
        <v>12</v>
      </c>
      <c r="F151" s="207" t="s">
        <v>38</v>
      </c>
      <c r="G151" s="207" t="s">
        <v>32</v>
      </c>
    </row>
    <row r="152" spans="1:7" ht="13.5" thickBot="1" x14ac:dyDescent="0.25">
      <c r="A152" s="330" t="s">
        <v>229</v>
      </c>
      <c r="B152" s="330" t="s">
        <v>230</v>
      </c>
      <c r="C152" s="330" t="s">
        <v>382</v>
      </c>
      <c r="D152" s="331">
        <v>152000</v>
      </c>
      <c r="E152" s="331">
        <v>4210400</v>
      </c>
      <c r="F152" s="123">
        <v>2</v>
      </c>
      <c r="G152" s="123">
        <f t="shared" ref="G152:G181" si="9">F152*E152</f>
        <v>8420800</v>
      </c>
    </row>
    <row r="153" spans="1:7" ht="13.5" thickBot="1" x14ac:dyDescent="0.25">
      <c r="A153" s="330" t="s">
        <v>229</v>
      </c>
      <c r="B153" s="330" t="s">
        <v>230</v>
      </c>
      <c r="C153" s="330">
        <v>15</v>
      </c>
      <c r="D153" s="331">
        <v>153400</v>
      </c>
      <c r="E153" s="331">
        <v>4249180</v>
      </c>
      <c r="F153" s="123">
        <v>1</v>
      </c>
      <c r="G153" s="123">
        <f t="shared" si="9"/>
        <v>4249180</v>
      </c>
    </row>
    <row r="154" spans="1:7" ht="13.5" thickBot="1" x14ac:dyDescent="0.25">
      <c r="A154" s="330" t="s">
        <v>229</v>
      </c>
      <c r="B154" s="330" t="s">
        <v>230</v>
      </c>
      <c r="C154" s="330">
        <v>16</v>
      </c>
      <c r="D154" s="331">
        <v>156400</v>
      </c>
      <c r="E154" s="331">
        <v>4332280</v>
      </c>
      <c r="F154" s="123">
        <v>1</v>
      </c>
      <c r="G154" s="123">
        <f t="shared" si="9"/>
        <v>4332280</v>
      </c>
    </row>
    <row r="155" spans="1:7" ht="13.5" thickBot="1" x14ac:dyDescent="0.25">
      <c r="A155" s="330">
        <v>2</v>
      </c>
      <c r="B155" s="330" t="s">
        <v>231</v>
      </c>
      <c r="C155" s="330">
        <v>10</v>
      </c>
      <c r="D155" s="331">
        <v>139600</v>
      </c>
      <c r="E155" s="331">
        <v>5430440</v>
      </c>
      <c r="F155" s="123">
        <v>1</v>
      </c>
      <c r="G155" s="210">
        <f t="shared" si="9"/>
        <v>5430440</v>
      </c>
    </row>
    <row r="156" spans="1:7" ht="13.5" thickBot="1" x14ac:dyDescent="0.25">
      <c r="A156" s="330">
        <v>2</v>
      </c>
      <c r="B156" s="330" t="s">
        <v>231</v>
      </c>
      <c r="C156" s="330" t="s">
        <v>233</v>
      </c>
      <c r="D156" s="331">
        <v>142100</v>
      </c>
      <c r="E156" s="331">
        <v>5527690</v>
      </c>
      <c r="F156" s="123">
        <v>3</v>
      </c>
      <c r="G156" s="210">
        <f t="shared" si="9"/>
        <v>16583070</v>
      </c>
    </row>
    <row r="157" spans="1:7" ht="13.5" thickBot="1" x14ac:dyDescent="0.25">
      <c r="A157" s="330">
        <v>2</v>
      </c>
      <c r="B157" s="330" t="s">
        <v>231</v>
      </c>
      <c r="C157" s="330" t="s">
        <v>234</v>
      </c>
      <c r="D157" s="331">
        <v>147200</v>
      </c>
      <c r="E157" s="331">
        <v>5726080</v>
      </c>
      <c r="F157" s="123">
        <v>2</v>
      </c>
      <c r="G157" s="210">
        <f t="shared" si="9"/>
        <v>11452160</v>
      </c>
    </row>
    <row r="158" spans="1:7" ht="13.5" thickBot="1" x14ac:dyDescent="0.25">
      <c r="A158" s="330">
        <v>2</v>
      </c>
      <c r="B158" s="330" t="s">
        <v>231</v>
      </c>
      <c r="C158" s="330">
        <v>17</v>
      </c>
      <c r="D158" s="331">
        <v>149700</v>
      </c>
      <c r="E158" s="331">
        <v>5823330</v>
      </c>
      <c r="F158" s="123">
        <v>1</v>
      </c>
      <c r="G158" s="210">
        <f t="shared" si="9"/>
        <v>5823330</v>
      </c>
    </row>
    <row r="159" spans="1:7" ht="13.5" thickBot="1" x14ac:dyDescent="0.25">
      <c r="A159" s="330">
        <v>2</v>
      </c>
      <c r="B159" s="330" t="s">
        <v>235</v>
      </c>
      <c r="C159" s="330">
        <v>2</v>
      </c>
      <c r="D159" s="331">
        <v>138000</v>
      </c>
      <c r="E159" s="331">
        <v>5423400</v>
      </c>
      <c r="F159" s="123">
        <v>1</v>
      </c>
      <c r="G159" s="210">
        <f t="shared" si="9"/>
        <v>5423400</v>
      </c>
    </row>
    <row r="160" spans="1:7" ht="13.5" thickBot="1" x14ac:dyDescent="0.25">
      <c r="A160" s="330">
        <v>2</v>
      </c>
      <c r="B160" s="330" t="s">
        <v>236</v>
      </c>
      <c r="C160" s="330" t="s">
        <v>237</v>
      </c>
      <c r="D160" s="331">
        <v>123000</v>
      </c>
      <c r="E160" s="331">
        <v>5867100</v>
      </c>
      <c r="F160" s="123">
        <v>6</v>
      </c>
      <c r="G160" s="123">
        <f t="shared" si="9"/>
        <v>35202600</v>
      </c>
    </row>
    <row r="161" spans="1:7" ht="13.5" thickBot="1" x14ac:dyDescent="0.25">
      <c r="A161" s="330">
        <v>2</v>
      </c>
      <c r="B161" s="330" t="s">
        <v>236</v>
      </c>
      <c r="C161" s="330" t="s">
        <v>238</v>
      </c>
      <c r="D161" s="331">
        <v>125500</v>
      </c>
      <c r="E161" s="331">
        <v>5986350</v>
      </c>
      <c r="F161" s="123">
        <v>4</v>
      </c>
      <c r="G161" s="123">
        <f t="shared" si="9"/>
        <v>23945400</v>
      </c>
    </row>
    <row r="162" spans="1:7" ht="13.5" thickBot="1" x14ac:dyDescent="0.25">
      <c r="A162" s="330">
        <v>2</v>
      </c>
      <c r="B162" s="330" t="s">
        <v>236</v>
      </c>
      <c r="C162" s="330">
        <v>15</v>
      </c>
      <c r="D162" s="331">
        <v>129900</v>
      </c>
      <c r="E162" s="331">
        <v>6196230</v>
      </c>
      <c r="F162" s="123">
        <v>1</v>
      </c>
      <c r="G162" s="123">
        <f t="shared" si="9"/>
        <v>6196230</v>
      </c>
    </row>
    <row r="163" spans="1:7" ht="13.5" thickBot="1" x14ac:dyDescent="0.25">
      <c r="A163" s="330">
        <v>2</v>
      </c>
      <c r="B163" s="330" t="s">
        <v>236</v>
      </c>
      <c r="C163" s="330">
        <v>15</v>
      </c>
      <c r="D163" s="331">
        <v>129102</v>
      </c>
      <c r="E163" s="331">
        <v>6158160</v>
      </c>
      <c r="F163" s="123">
        <v>1</v>
      </c>
      <c r="G163" s="123">
        <f t="shared" si="9"/>
        <v>6158160</v>
      </c>
    </row>
    <row r="164" spans="1:7" ht="13.5" thickBot="1" x14ac:dyDescent="0.25">
      <c r="A164" s="330">
        <v>2</v>
      </c>
      <c r="B164" s="330" t="s">
        <v>236</v>
      </c>
      <c r="C164" s="330">
        <v>16</v>
      </c>
      <c r="D164" s="331">
        <v>129900</v>
      </c>
      <c r="E164" s="331">
        <v>6196230</v>
      </c>
      <c r="F164" s="123">
        <v>1</v>
      </c>
      <c r="G164" s="123">
        <f t="shared" si="9"/>
        <v>6196230</v>
      </c>
    </row>
    <row r="165" spans="1:7" ht="13.5" thickBot="1" x14ac:dyDescent="0.25">
      <c r="A165" s="330">
        <v>2</v>
      </c>
      <c r="B165" s="330" t="s">
        <v>236</v>
      </c>
      <c r="C165" s="330">
        <v>17</v>
      </c>
      <c r="D165" s="331">
        <v>132200</v>
      </c>
      <c r="E165" s="331">
        <v>6305940</v>
      </c>
      <c r="F165" s="123">
        <v>1</v>
      </c>
      <c r="G165" s="123">
        <f t="shared" si="9"/>
        <v>6305940</v>
      </c>
    </row>
    <row r="166" spans="1:7" ht="13.5" thickBot="1" x14ac:dyDescent="0.25">
      <c r="A166" s="330">
        <v>2</v>
      </c>
      <c r="B166" s="330" t="s">
        <v>239</v>
      </c>
      <c r="C166" s="330">
        <v>2</v>
      </c>
      <c r="D166" s="331">
        <v>122000</v>
      </c>
      <c r="E166" s="331">
        <v>5843800</v>
      </c>
      <c r="F166" s="123">
        <v>1</v>
      </c>
      <c r="G166" s="123">
        <f t="shared" si="9"/>
        <v>5843800</v>
      </c>
    </row>
    <row r="167" spans="1:7" ht="13.5" thickBot="1" x14ac:dyDescent="0.25">
      <c r="A167" s="330">
        <v>3</v>
      </c>
      <c r="B167" s="330" t="s">
        <v>240</v>
      </c>
      <c r="C167" s="330" t="s">
        <v>383</v>
      </c>
      <c r="D167" s="331">
        <v>123000</v>
      </c>
      <c r="E167" s="331">
        <v>6506700</v>
      </c>
      <c r="F167" s="123">
        <v>2</v>
      </c>
      <c r="G167" s="210">
        <f t="shared" si="9"/>
        <v>13013400</v>
      </c>
    </row>
    <row r="168" spans="1:7" ht="13.5" thickBot="1" x14ac:dyDescent="0.25">
      <c r="A168" s="330">
        <v>3</v>
      </c>
      <c r="B168" s="330" t="s">
        <v>240</v>
      </c>
      <c r="C168" s="330">
        <v>9</v>
      </c>
      <c r="D168" s="331">
        <v>125260</v>
      </c>
      <c r="E168" s="331">
        <v>6626254</v>
      </c>
      <c r="F168" s="123">
        <v>1</v>
      </c>
      <c r="G168" s="210">
        <f t="shared" si="9"/>
        <v>6626254</v>
      </c>
    </row>
    <row r="169" spans="1:7" ht="13.5" thickBot="1" x14ac:dyDescent="0.25">
      <c r="A169" s="330">
        <v>3</v>
      </c>
      <c r="B169" s="330" t="s">
        <v>240</v>
      </c>
      <c r="C169" s="330" t="s">
        <v>232</v>
      </c>
      <c r="D169" s="331">
        <v>125300</v>
      </c>
      <c r="E169" s="331">
        <v>6628370</v>
      </c>
      <c r="F169" s="123">
        <v>2</v>
      </c>
      <c r="G169" s="210">
        <f t="shared" si="9"/>
        <v>13256740</v>
      </c>
    </row>
    <row r="170" spans="1:7" ht="13.5" thickBot="1" x14ac:dyDescent="0.25">
      <c r="A170" s="330">
        <v>3</v>
      </c>
      <c r="B170" s="330" t="s">
        <v>240</v>
      </c>
      <c r="C170" s="330" t="s">
        <v>233</v>
      </c>
      <c r="D170" s="331">
        <v>127600</v>
      </c>
      <c r="E170" s="331">
        <v>6750040</v>
      </c>
      <c r="F170" s="123">
        <v>3</v>
      </c>
      <c r="G170" s="210">
        <f t="shared" si="9"/>
        <v>20250120</v>
      </c>
    </row>
    <row r="171" spans="1:7" ht="13.5" thickBot="1" x14ac:dyDescent="0.25">
      <c r="A171" s="330">
        <v>3</v>
      </c>
      <c r="B171" s="330" t="s">
        <v>240</v>
      </c>
      <c r="C171" s="330" t="s">
        <v>234</v>
      </c>
      <c r="D171" s="331">
        <v>132100</v>
      </c>
      <c r="E171" s="331">
        <v>6988090</v>
      </c>
      <c r="F171" s="123">
        <v>2</v>
      </c>
      <c r="G171" s="210">
        <f t="shared" si="9"/>
        <v>13976180</v>
      </c>
    </row>
    <row r="172" spans="1:7" ht="13.5" thickBot="1" x14ac:dyDescent="0.25">
      <c r="A172" s="330">
        <v>3</v>
      </c>
      <c r="B172" s="330" t="s">
        <v>240</v>
      </c>
      <c r="C172" s="330">
        <v>17</v>
      </c>
      <c r="D172" s="331">
        <v>133400</v>
      </c>
      <c r="E172" s="331">
        <v>7056860</v>
      </c>
      <c r="F172" s="123">
        <v>1</v>
      </c>
      <c r="G172" s="210">
        <f t="shared" si="9"/>
        <v>7056860</v>
      </c>
    </row>
    <row r="173" spans="1:7" ht="13.5" thickBot="1" x14ac:dyDescent="0.25">
      <c r="A173" s="330">
        <v>3</v>
      </c>
      <c r="B173" s="330" t="s">
        <v>241</v>
      </c>
      <c r="C173" s="330">
        <v>2</v>
      </c>
      <c r="D173" s="331">
        <v>123000</v>
      </c>
      <c r="E173" s="331">
        <v>6555900</v>
      </c>
      <c r="F173" s="123">
        <v>1</v>
      </c>
      <c r="G173" s="210">
        <f t="shared" si="9"/>
        <v>6555900</v>
      </c>
    </row>
    <row r="174" spans="1:7" ht="13.5" thickBot="1" x14ac:dyDescent="0.25">
      <c r="A174" s="330">
        <v>3</v>
      </c>
      <c r="B174" s="330" t="s">
        <v>242</v>
      </c>
      <c r="C174" s="330" t="s">
        <v>308</v>
      </c>
      <c r="D174" s="331">
        <v>118000</v>
      </c>
      <c r="E174" s="331">
        <v>7788000</v>
      </c>
      <c r="F174" s="123">
        <v>5</v>
      </c>
      <c r="G174" s="210">
        <f t="shared" si="9"/>
        <v>38940000</v>
      </c>
    </row>
    <row r="175" spans="1:7" ht="13.5" thickBot="1" x14ac:dyDescent="0.25">
      <c r="A175" s="330">
        <v>3</v>
      </c>
      <c r="B175" s="330" t="s">
        <v>242</v>
      </c>
      <c r="C175" s="330">
        <v>9</v>
      </c>
      <c r="D175" s="331">
        <v>120160</v>
      </c>
      <c r="E175" s="331">
        <v>7930560</v>
      </c>
      <c r="F175" s="123">
        <v>1</v>
      </c>
      <c r="G175" s="210">
        <f t="shared" si="9"/>
        <v>7930560</v>
      </c>
    </row>
    <row r="176" spans="1:7" ht="13.5" thickBot="1" x14ac:dyDescent="0.25">
      <c r="A176" s="330">
        <v>3</v>
      </c>
      <c r="B176" s="330" t="s">
        <v>242</v>
      </c>
      <c r="C176" s="330" t="s">
        <v>232</v>
      </c>
      <c r="D176" s="331">
        <v>120200</v>
      </c>
      <c r="E176" s="331">
        <v>7933200</v>
      </c>
      <c r="F176" s="123">
        <v>2</v>
      </c>
      <c r="G176" s="210">
        <f t="shared" si="9"/>
        <v>15866400</v>
      </c>
    </row>
    <row r="177" spans="1:7" ht="13.5" thickBot="1" x14ac:dyDescent="0.25">
      <c r="A177" s="330">
        <v>3</v>
      </c>
      <c r="B177" s="330" t="s">
        <v>242</v>
      </c>
      <c r="C177" s="330" t="s">
        <v>233</v>
      </c>
      <c r="D177" s="331">
        <v>122400</v>
      </c>
      <c r="E177" s="331">
        <v>8078400</v>
      </c>
      <c r="F177" s="123">
        <v>3</v>
      </c>
      <c r="G177" s="210">
        <f t="shared" si="9"/>
        <v>24235200</v>
      </c>
    </row>
    <row r="178" spans="1:7" ht="13.5" thickBot="1" x14ac:dyDescent="0.25">
      <c r="A178" s="330">
        <v>3</v>
      </c>
      <c r="B178" s="330" t="s">
        <v>242</v>
      </c>
      <c r="C178" s="330" t="s">
        <v>234</v>
      </c>
      <c r="D178" s="331">
        <v>126700</v>
      </c>
      <c r="E178" s="331">
        <v>8362200</v>
      </c>
      <c r="F178" s="123">
        <v>2</v>
      </c>
      <c r="G178" s="210">
        <f t="shared" si="9"/>
        <v>16724400</v>
      </c>
    </row>
    <row r="179" spans="1:7" ht="13.5" thickBot="1" x14ac:dyDescent="0.25">
      <c r="A179" s="330">
        <v>2</v>
      </c>
      <c r="B179" s="330" t="s">
        <v>242</v>
      </c>
      <c r="C179" s="330">
        <v>16</v>
      </c>
      <c r="D179" s="331">
        <v>126700</v>
      </c>
      <c r="E179" s="331">
        <v>8362200</v>
      </c>
      <c r="F179" s="123">
        <v>1</v>
      </c>
      <c r="G179" s="210">
        <f t="shared" si="9"/>
        <v>8362200</v>
      </c>
    </row>
    <row r="180" spans="1:7" ht="13.5" thickBot="1" x14ac:dyDescent="0.25">
      <c r="A180" s="330">
        <v>3</v>
      </c>
      <c r="B180" s="330" t="s">
        <v>242</v>
      </c>
      <c r="C180" s="330">
        <v>17</v>
      </c>
      <c r="D180" s="331">
        <v>128900</v>
      </c>
      <c r="E180" s="331">
        <v>8507400</v>
      </c>
      <c r="F180" s="123">
        <v>1</v>
      </c>
      <c r="G180" s="210">
        <f t="shared" si="9"/>
        <v>8507400</v>
      </c>
    </row>
    <row r="181" spans="1:7" ht="13.5" thickBot="1" x14ac:dyDescent="0.25">
      <c r="A181" s="330">
        <v>3</v>
      </c>
      <c r="B181" s="330" t="s">
        <v>243</v>
      </c>
      <c r="C181" s="330">
        <v>2</v>
      </c>
      <c r="D181" s="331">
        <v>118000</v>
      </c>
      <c r="E181" s="331">
        <v>7835200</v>
      </c>
      <c r="F181" s="123">
        <v>1</v>
      </c>
      <c r="G181" s="210">
        <f t="shared" si="9"/>
        <v>7835200</v>
      </c>
    </row>
    <row r="182" spans="1:7" x14ac:dyDescent="0.2">
      <c r="A182" s="258" t="s">
        <v>309</v>
      </c>
      <c r="B182" s="258"/>
      <c r="C182" s="258"/>
      <c r="D182" s="258"/>
      <c r="E182" s="258"/>
      <c r="F182" s="258"/>
      <c r="G182" s="258"/>
    </row>
    <row r="183" spans="1:7" ht="13.5" thickBot="1" x14ac:dyDescent="0.25">
      <c r="A183" s="207" t="s">
        <v>6</v>
      </c>
      <c r="B183" s="207" t="s">
        <v>7</v>
      </c>
      <c r="C183" s="207" t="s">
        <v>10</v>
      </c>
      <c r="D183" s="208" t="s">
        <v>11</v>
      </c>
      <c r="E183" s="208" t="s">
        <v>12</v>
      </c>
      <c r="F183" s="207" t="s">
        <v>38</v>
      </c>
      <c r="G183" s="207" t="s">
        <v>32</v>
      </c>
    </row>
    <row r="184" spans="1:7" ht="13.5" thickBot="1" x14ac:dyDescent="0.25">
      <c r="A184" s="330">
        <v>1</v>
      </c>
      <c r="B184" s="330" t="s">
        <v>244</v>
      </c>
      <c r="C184" s="330">
        <v>16</v>
      </c>
      <c r="D184" s="331">
        <v>152000</v>
      </c>
      <c r="E184" s="331">
        <v>4225600</v>
      </c>
      <c r="F184" s="123">
        <v>1</v>
      </c>
      <c r="G184" s="123">
        <f t="shared" ref="G184:G197" si="10">F184*E184</f>
        <v>4225600</v>
      </c>
    </row>
    <row r="185" spans="1:7" ht="13.5" thickBot="1" x14ac:dyDescent="0.25">
      <c r="A185" s="330">
        <v>1</v>
      </c>
      <c r="B185" s="330" t="s">
        <v>244</v>
      </c>
      <c r="C185" s="330">
        <v>17</v>
      </c>
      <c r="D185" s="331">
        <v>155000</v>
      </c>
      <c r="E185" s="331">
        <v>4309000</v>
      </c>
      <c r="F185" s="123">
        <v>1</v>
      </c>
      <c r="G185" s="123">
        <f t="shared" si="10"/>
        <v>4309000</v>
      </c>
    </row>
    <row r="186" spans="1:7" ht="13.5" thickBot="1" x14ac:dyDescent="0.25">
      <c r="A186" s="330">
        <v>1</v>
      </c>
      <c r="B186" s="330" t="s">
        <v>384</v>
      </c>
      <c r="C186" s="330">
        <v>16</v>
      </c>
      <c r="D186" s="331">
        <v>144000</v>
      </c>
      <c r="E186" s="331">
        <v>4420800</v>
      </c>
      <c r="F186" s="123">
        <v>1</v>
      </c>
      <c r="G186" s="210">
        <f t="shared" si="10"/>
        <v>4420800</v>
      </c>
    </row>
    <row r="187" spans="1:7" ht="13.5" thickBot="1" x14ac:dyDescent="0.25">
      <c r="A187" s="330">
        <v>1</v>
      </c>
      <c r="B187" s="330" t="s">
        <v>384</v>
      </c>
      <c r="C187" s="330">
        <v>17</v>
      </c>
      <c r="D187" s="331">
        <v>146000</v>
      </c>
      <c r="E187" s="331">
        <v>4482200</v>
      </c>
      <c r="F187" s="123">
        <v>1</v>
      </c>
      <c r="G187" s="210">
        <f t="shared" si="10"/>
        <v>4482200</v>
      </c>
    </row>
    <row r="188" spans="1:7" ht="13.5" thickBot="1" x14ac:dyDescent="0.25">
      <c r="A188" s="330">
        <v>1</v>
      </c>
      <c r="B188" s="330" t="s">
        <v>245</v>
      </c>
      <c r="C188" s="330">
        <v>15</v>
      </c>
      <c r="D188" s="331">
        <v>138000</v>
      </c>
      <c r="E188" s="331">
        <v>5589000</v>
      </c>
      <c r="F188" s="123">
        <v>1</v>
      </c>
      <c r="G188" s="123">
        <f t="shared" si="10"/>
        <v>5589000</v>
      </c>
    </row>
    <row r="189" spans="1:7" ht="13.5" thickBot="1" x14ac:dyDescent="0.25">
      <c r="A189" s="330">
        <v>1</v>
      </c>
      <c r="B189" s="330" t="s">
        <v>245</v>
      </c>
      <c r="C189" s="330">
        <v>16</v>
      </c>
      <c r="D189" s="331">
        <v>140000</v>
      </c>
      <c r="E189" s="331">
        <v>5670000</v>
      </c>
      <c r="F189" s="123">
        <v>1</v>
      </c>
      <c r="G189" s="123">
        <f t="shared" si="10"/>
        <v>5670000</v>
      </c>
    </row>
    <row r="190" spans="1:7" ht="13.5" thickBot="1" x14ac:dyDescent="0.25">
      <c r="A190" s="330">
        <v>1</v>
      </c>
      <c r="B190" s="330" t="s">
        <v>245</v>
      </c>
      <c r="C190" s="330">
        <v>17</v>
      </c>
      <c r="D190" s="331">
        <v>142000</v>
      </c>
      <c r="E190" s="331">
        <v>5751000</v>
      </c>
      <c r="F190" s="123">
        <v>1</v>
      </c>
      <c r="G190" s="123">
        <f t="shared" si="10"/>
        <v>5751000</v>
      </c>
    </row>
    <row r="191" spans="1:7" ht="13.5" thickBot="1" x14ac:dyDescent="0.25">
      <c r="A191" s="330">
        <v>2</v>
      </c>
      <c r="B191" s="330" t="s">
        <v>214</v>
      </c>
      <c r="C191" s="330">
        <v>16</v>
      </c>
      <c r="D191" s="331">
        <v>138000</v>
      </c>
      <c r="E191" s="331">
        <v>6637800</v>
      </c>
      <c r="F191" s="123">
        <v>1</v>
      </c>
      <c r="G191" s="123">
        <f t="shared" si="10"/>
        <v>6637800</v>
      </c>
    </row>
    <row r="192" spans="1:7" ht="13.5" thickBot="1" x14ac:dyDescent="0.25">
      <c r="A192" s="330">
        <v>2</v>
      </c>
      <c r="B192" s="330" t="s">
        <v>214</v>
      </c>
      <c r="C192" s="330">
        <v>17</v>
      </c>
      <c r="D192" s="331">
        <v>140000</v>
      </c>
      <c r="E192" s="331">
        <v>6734000</v>
      </c>
      <c r="F192" s="123">
        <v>1</v>
      </c>
      <c r="G192" s="123">
        <f t="shared" si="10"/>
        <v>6734000</v>
      </c>
    </row>
    <row r="193" spans="1:8" ht="13.5" thickBot="1" x14ac:dyDescent="0.25">
      <c r="A193" s="330">
        <v>3</v>
      </c>
      <c r="B193" s="330" t="s">
        <v>246</v>
      </c>
      <c r="C193" s="330">
        <v>13</v>
      </c>
      <c r="D193" s="331">
        <v>127000</v>
      </c>
      <c r="E193" s="331">
        <v>6667500</v>
      </c>
      <c r="F193" s="123">
        <v>1</v>
      </c>
      <c r="G193" s="210">
        <f t="shared" si="10"/>
        <v>6667500</v>
      </c>
    </row>
    <row r="194" spans="1:8" ht="13.5" thickBot="1" x14ac:dyDescent="0.25">
      <c r="A194" s="330">
        <v>3</v>
      </c>
      <c r="B194" s="330" t="s">
        <v>246</v>
      </c>
      <c r="C194" s="330">
        <v>16</v>
      </c>
      <c r="D194" s="331">
        <v>130000</v>
      </c>
      <c r="E194" s="331">
        <v>6825000</v>
      </c>
      <c r="F194" s="123">
        <v>1</v>
      </c>
      <c r="G194" s="210">
        <f t="shared" si="10"/>
        <v>6825000</v>
      </c>
    </row>
    <row r="195" spans="1:8" ht="13.5" thickBot="1" x14ac:dyDescent="0.25">
      <c r="A195" s="330">
        <v>2</v>
      </c>
      <c r="B195" s="330" t="s">
        <v>247</v>
      </c>
      <c r="C195" s="330" t="s">
        <v>382</v>
      </c>
      <c r="D195" s="331">
        <v>124000</v>
      </c>
      <c r="E195" s="331">
        <v>7080400</v>
      </c>
      <c r="F195" s="123">
        <v>2</v>
      </c>
      <c r="G195" s="210">
        <f t="shared" si="10"/>
        <v>14160800</v>
      </c>
    </row>
    <row r="196" spans="1:8" ht="13.5" thickBot="1" x14ac:dyDescent="0.25">
      <c r="A196" s="330">
        <v>2</v>
      </c>
      <c r="B196" s="330" t="s">
        <v>247</v>
      </c>
      <c r="C196" s="330" t="s">
        <v>234</v>
      </c>
      <c r="D196" s="331">
        <v>125000</v>
      </c>
      <c r="E196" s="331">
        <v>7137500</v>
      </c>
      <c r="F196" s="123">
        <v>2</v>
      </c>
      <c r="G196" s="210">
        <f t="shared" si="10"/>
        <v>14275000</v>
      </c>
    </row>
    <row r="197" spans="1:8" ht="13.5" thickBot="1" x14ac:dyDescent="0.25">
      <c r="A197" s="330">
        <v>2</v>
      </c>
      <c r="B197" s="330" t="s">
        <v>247</v>
      </c>
      <c r="C197" s="330">
        <v>17</v>
      </c>
      <c r="D197" s="331">
        <v>127000</v>
      </c>
      <c r="E197" s="331">
        <v>7251700</v>
      </c>
      <c r="F197" s="123">
        <v>1</v>
      </c>
      <c r="G197" s="210">
        <f t="shared" si="10"/>
        <v>7251700</v>
      </c>
    </row>
    <row r="198" spans="1:8" ht="13.5" thickBot="1" x14ac:dyDescent="0.25">
      <c r="A198" s="330">
        <v>3</v>
      </c>
      <c r="B198" s="330" t="s">
        <v>198</v>
      </c>
      <c r="C198" s="330">
        <v>2</v>
      </c>
      <c r="D198" s="331">
        <v>110000</v>
      </c>
      <c r="E198" s="331">
        <v>9504000</v>
      </c>
      <c r="F198" s="123">
        <v>1</v>
      </c>
      <c r="G198" s="209">
        <f>F198*E198</f>
        <v>9504000</v>
      </c>
      <c r="H198" s="98"/>
    </row>
    <row r="199" spans="1:8" ht="13.5" thickBot="1" x14ac:dyDescent="0.25">
      <c r="A199" s="258" t="s">
        <v>310</v>
      </c>
      <c r="B199" s="258"/>
      <c r="C199" s="258"/>
      <c r="D199" s="258"/>
      <c r="E199" s="258"/>
      <c r="F199" s="258"/>
      <c r="G199" s="258"/>
    </row>
    <row r="200" spans="1:8" ht="13.5" thickBot="1" x14ac:dyDescent="0.25">
      <c r="A200" s="330" t="s">
        <v>229</v>
      </c>
      <c r="B200" s="330" t="s">
        <v>230</v>
      </c>
      <c r="C200" s="330">
        <v>16</v>
      </c>
      <c r="D200" s="331">
        <v>152000</v>
      </c>
      <c r="E200" s="331">
        <v>4210400</v>
      </c>
      <c r="F200" s="123">
        <v>1</v>
      </c>
      <c r="G200" s="123">
        <f>F200*E200</f>
        <v>4210400</v>
      </c>
    </row>
    <row r="201" spans="1:8" ht="13.5" thickBot="1" x14ac:dyDescent="0.25">
      <c r="A201" s="330" t="s">
        <v>229</v>
      </c>
      <c r="B201" s="330" t="s">
        <v>190</v>
      </c>
      <c r="C201" s="330">
        <v>15</v>
      </c>
      <c r="D201" s="331">
        <v>144000</v>
      </c>
      <c r="E201" s="331">
        <v>4377600</v>
      </c>
      <c r="F201" s="123">
        <v>1</v>
      </c>
      <c r="G201" s="210">
        <f t="shared" ref="G201:G203" si="11">F201*E201</f>
        <v>4377600</v>
      </c>
    </row>
    <row r="202" spans="1:8" ht="13.5" thickBot="1" x14ac:dyDescent="0.25">
      <c r="A202" s="330" t="s">
        <v>229</v>
      </c>
      <c r="B202" s="330" t="s">
        <v>190</v>
      </c>
      <c r="C202" s="330">
        <v>16</v>
      </c>
      <c r="D202" s="331">
        <v>146000</v>
      </c>
      <c r="E202" s="331">
        <v>4438400</v>
      </c>
      <c r="F202" s="123">
        <v>1</v>
      </c>
      <c r="G202" s="210">
        <f t="shared" si="11"/>
        <v>4438400</v>
      </c>
    </row>
    <row r="203" spans="1:8" ht="13.5" thickBot="1" x14ac:dyDescent="0.25">
      <c r="A203" s="330">
        <v>2</v>
      </c>
      <c r="B203" s="330" t="s">
        <v>231</v>
      </c>
      <c r="C203" s="330">
        <v>17</v>
      </c>
      <c r="D203" s="331">
        <v>145000</v>
      </c>
      <c r="E203" s="331">
        <v>5640500</v>
      </c>
      <c r="F203" s="123">
        <v>1</v>
      </c>
      <c r="G203" s="210">
        <f t="shared" si="11"/>
        <v>5640500</v>
      </c>
    </row>
    <row r="204" spans="1:8" ht="13.5" thickBot="1" x14ac:dyDescent="0.25">
      <c r="A204" s="330">
        <v>2</v>
      </c>
      <c r="B204" s="330" t="s">
        <v>236</v>
      </c>
      <c r="C204" s="330" t="s">
        <v>382</v>
      </c>
      <c r="D204" s="331">
        <v>119000</v>
      </c>
      <c r="E204" s="331">
        <v>5676300</v>
      </c>
      <c r="F204" s="123">
        <v>2</v>
      </c>
      <c r="G204" s="123">
        <f>F204*E204</f>
        <v>11352600</v>
      </c>
    </row>
    <row r="205" spans="1:8" ht="13.5" thickBot="1" x14ac:dyDescent="0.25">
      <c r="A205" s="330">
        <v>2</v>
      </c>
      <c r="B205" s="330" t="s">
        <v>240</v>
      </c>
      <c r="C205" s="330" t="s">
        <v>249</v>
      </c>
      <c r="D205" s="331">
        <v>125000</v>
      </c>
      <c r="E205" s="331">
        <v>6612500</v>
      </c>
      <c r="F205" s="123">
        <v>5</v>
      </c>
      <c r="G205" s="210">
        <f t="shared" ref="G205:G213" si="12">F205*E205</f>
        <v>33062500</v>
      </c>
    </row>
    <row r="206" spans="1:8" ht="13.5" thickBot="1" x14ac:dyDescent="0.25">
      <c r="A206" s="330">
        <v>3</v>
      </c>
      <c r="B206" s="330" t="s">
        <v>240</v>
      </c>
      <c r="C206" s="330" t="s">
        <v>311</v>
      </c>
      <c r="D206" s="331">
        <v>126000</v>
      </c>
      <c r="E206" s="331">
        <v>6665400</v>
      </c>
      <c r="F206" s="123">
        <v>3</v>
      </c>
      <c r="G206" s="210">
        <f t="shared" si="12"/>
        <v>19996200</v>
      </c>
    </row>
    <row r="207" spans="1:8" ht="13.5" thickBot="1" x14ac:dyDescent="0.25">
      <c r="A207" s="330">
        <v>2</v>
      </c>
      <c r="B207" s="330" t="s">
        <v>250</v>
      </c>
      <c r="C207" s="330">
        <v>3</v>
      </c>
      <c r="D207" s="331">
        <v>116000</v>
      </c>
      <c r="E207" s="331">
        <v>6171200</v>
      </c>
      <c r="F207" s="123">
        <v>1</v>
      </c>
      <c r="G207" s="210">
        <f t="shared" si="12"/>
        <v>6171200</v>
      </c>
    </row>
    <row r="208" spans="1:8" ht="13.5" thickBot="1" x14ac:dyDescent="0.25">
      <c r="A208" s="330">
        <v>2</v>
      </c>
      <c r="B208" s="330" t="s">
        <v>250</v>
      </c>
      <c r="C208" s="330" t="s">
        <v>312</v>
      </c>
      <c r="D208" s="331">
        <v>117000</v>
      </c>
      <c r="E208" s="331">
        <v>6224400</v>
      </c>
      <c r="F208" s="123">
        <v>2</v>
      </c>
      <c r="G208" s="210">
        <f t="shared" si="12"/>
        <v>12448800</v>
      </c>
    </row>
    <row r="209" spans="1:8" ht="13.5" thickBot="1" x14ac:dyDescent="0.25">
      <c r="A209" s="330">
        <v>2</v>
      </c>
      <c r="B209" s="330" t="s">
        <v>251</v>
      </c>
      <c r="C209" s="330">
        <v>2</v>
      </c>
      <c r="D209" s="331">
        <v>125000</v>
      </c>
      <c r="E209" s="331">
        <v>6700000</v>
      </c>
      <c r="F209" s="123">
        <v>1</v>
      </c>
      <c r="G209" s="210">
        <f t="shared" si="12"/>
        <v>6700000</v>
      </c>
    </row>
    <row r="210" spans="1:8" ht="26.25" thickBot="1" x14ac:dyDescent="0.25">
      <c r="A210" s="330">
        <v>2</v>
      </c>
      <c r="B210" s="330" t="s">
        <v>252</v>
      </c>
      <c r="C210" s="330" t="s">
        <v>385</v>
      </c>
      <c r="D210" s="331">
        <v>107000</v>
      </c>
      <c r="E210" s="331">
        <v>7083400</v>
      </c>
      <c r="F210" s="123">
        <v>10</v>
      </c>
      <c r="G210" s="210">
        <f t="shared" si="12"/>
        <v>70834000</v>
      </c>
    </row>
    <row r="211" spans="1:8" ht="13.5" thickBot="1" x14ac:dyDescent="0.25">
      <c r="A211" s="330">
        <v>1</v>
      </c>
      <c r="B211" s="330" t="s">
        <v>206</v>
      </c>
      <c r="C211" s="330">
        <v>2</v>
      </c>
      <c r="D211" s="331">
        <v>107000</v>
      </c>
      <c r="E211" s="331">
        <v>7136900</v>
      </c>
      <c r="F211" s="123">
        <v>1</v>
      </c>
      <c r="G211" s="210">
        <f t="shared" si="12"/>
        <v>7136900</v>
      </c>
    </row>
    <row r="212" spans="1:8" ht="26.25" thickBot="1" x14ac:dyDescent="0.25">
      <c r="A212" s="330">
        <v>4</v>
      </c>
      <c r="B212" s="330" t="s">
        <v>253</v>
      </c>
      <c r="C212" s="330" t="s">
        <v>313</v>
      </c>
      <c r="D212" s="331">
        <v>110000</v>
      </c>
      <c r="E212" s="331">
        <v>9152000</v>
      </c>
      <c r="F212" s="123">
        <v>11</v>
      </c>
      <c r="G212" s="209">
        <f t="shared" si="12"/>
        <v>100672000</v>
      </c>
      <c r="H212" s="98"/>
    </row>
    <row r="213" spans="1:8" ht="13.5" thickBot="1" x14ac:dyDescent="0.25">
      <c r="A213" s="330">
        <v>3</v>
      </c>
      <c r="B213" s="330" t="s">
        <v>254</v>
      </c>
      <c r="C213" s="330">
        <v>2</v>
      </c>
      <c r="D213" s="331">
        <v>110000</v>
      </c>
      <c r="E213" s="331">
        <v>9229000</v>
      </c>
      <c r="F213" s="123">
        <v>1</v>
      </c>
      <c r="G213" s="209">
        <f t="shared" si="12"/>
        <v>9229000</v>
      </c>
      <c r="H213" s="98"/>
    </row>
    <row r="214" spans="1:8" ht="13.5" thickBot="1" x14ac:dyDescent="0.25">
      <c r="A214" s="258" t="s">
        <v>314</v>
      </c>
      <c r="B214" s="258"/>
      <c r="C214" s="258"/>
      <c r="D214" s="258"/>
      <c r="E214" s="258"/>
      <c r="F214" s="258"/>
      <c r="G214" s="258"/>
    </row>
    <row r="215" spans="1:8" ht="13.5" thickBot="1" x14ac:dyDescent="0.25">
      <c r="A215" s="330" t="s">
        <v>229</v>
      </c>
      <c r="B215" s="330" t="s">
        <v>230</v>
      </c>
      <c r="C215" s="330" t="s">
        <v>386</v>
      </c>
      <c r="D215" s="331">
        <v>148000</v>
      </c>
      <c r="E215" s="331">
        <v>4099600</v>
      </c>
      <c r="F215" s="123">
        <v>7</v>
      </c>
      <c r="G215" s="123">
        <f>F215*E215</f>
        <v>28697200</v>
      </c>
    </row>
    <row r="216" spans="1:8" ht="13.5" thickBot="1" x14ac:dyDescent="0.25">
      <c r="A216" s="330">
        <v>1</v>
      </c>
      <c r="B216" s="330">
        <v>33</v>
      </c>
      <c r="C216" s="330" t="s">
        <v>387</v>
      </c>
      <c r="D216" s="331">
        <v>133000</v>
      </c>
      <c r="E216" s="331">
        <v>4389000</v>
      </c>
      <c r="F216" s="123">
        <v>4</v>
      </c>
      <c r="G216" s="210">
        <f t="shared" ref="G216:G231" si="13">F216*E216</f>
        <v>17556000</v>
      </c>
    </row>
    <row r="217" spans="1:8" ht="13.5" thickBot="1" x14ac:dyDescent="0.25">
      <c r="A217" s="330">
        <v>1</v>
      </c>
      <c r="B217" s="330" t="s">
        <v>248</v>
      </c>
      <c r="C217" s="330">
        <v>2</v>
      </c>
      <c r="D217" s="331">
        <v>133000</v>
      </c>
      <c r="E217" s="331">
        <v>4415600</v>
      </c>
      <c r="F217" s="123">
        <v>1</v>
      </c>
      <c r="G217" s="210">
        <f t="shared" si="13"/>
        <v>4415600</v>
      </c>
    </row>
    <row r="218" spans="1:8" ht="13.5" thickBot="1" x14ac:dyDescent="0.25">
      <c r="A218" s="330">
        <v>2</v>
      </c>
      <c r="B218" s="330" t="s">
        <v>231</v>
      </c>
      <c r="C218" s="330" t="s">
        <v>202</v>
      </c>
      <c r="D218" s="331">
        <v>138000</v>
      </c>
      <c r="E218" s="331">
        <v>5368200</v>
      </c>
      <c r="F218" s="123">
        <v>2</v>
      </c>
      <c r="G218" s="210">
        <f t="shared" si="13"/>
        <v>10736400</v>
      </c>
    </row>
    <row r="219" spans="1:8" ht="13.5" thickBot="1" x14ac:dyDescent="0.25">
      <c r="A219" s="330">
        <v>2</v>
      </c>
      <c r="B219" s="330" t="s">
        <v>231</v>
      </c>
      <c r="C219" s="330" t="s">
        <v>388</v>
      </c>
      <c r="D219" s="331">
        <v>140000</v>
      </c>
      <c r="E219" s="331">
        <v>5446000</v>
      </c>
      <c r="F219" s="123">
        <v>3</v>
      </c>
      <c r="G219" s="210">
        <f t="shared" si="13"/>
        <v>16338000</v>
      </c>
    </row>
    <row r="220" spans="1:8" ht="13.5" thickBot="1" x14ac:dyDescent="0.25">
      <c r="A220" s="330">
        <v>2</v>
      </c>
      <c r="B220" s="330" t="s">
        <v>235</v>
      </c>
      <c r="C220" s="330">
        <v>2</v>
      </c>
      <c r="D220" s="331">
        <v>138000</v>
      </c>
      <c r="E220" s="331">
        <v>5423400</v>
      </c>
      <c r="F220" s="123">
        <v>1</v>
      </c>
      <c r="G220" s="210">
        <f t="shared" si="13"/>
        <v>5423400</v>
      </c>
    </row>
    <row r="221" spans="1:8" ht="13.5" thickBot="1" x14ac:dyDescent="0.25">
      <c r="A221" s="330">
        <v>2</v>
      </c>
      <c r="B221" s="330" t="s">
        <v>236</v>
      </c>
      <c r="C221" s="330" t="s">
        <v>237</v>
      </c>
      <c r="D221" s="331">
        <v>124000</v>
      </c>
      <c r="E221" s="331">
        <v>5914800</v>
      </c>
      <c r="F221" s="123">
        <v>6</v>
      </c>
      <c r="G221" s="123">
        <f t="shared" si="13"/>
        <v>35488800</v>
      </c>
    </row>
    <row r="222" spans="1:8" ht="13.5" thickBot="1" x14ac:dyDescent="0.25">
      <c r="A222" s="330">
        <v>2</v>
      </c>
      <c r="B222" s="330" t="s">
        <v>239</v>
      </c>
      <c r="C222" s="330">
        <v>2</v>
      </c>
      <c r="D222" s="331">
        <v>124000</v>
      </c>
      <c r="E222" s="331">
        <v>5939600</v>
      </c>
      <c r="F222" s="123">
        <v>1</v>
      </c>
      <c r="G222" s="123">
        <f t="shared" si="13"/>
        <v>5939600</v>
      </c>
    </row>
    <row r="223" spans="1:8" ht="13.5" thickBot="1" x14ac:dyDescent="0.25">
      <c r="A223" s="330">
        <v>3</v>
      </c>
      <c r="B223" s="330" t="s">
        <v>240</v>
      </c>
      <c r="C223" s="330" t="s">
        <v>389</v>
      </c>
      <c r="D223" s="331">
        <v>123000</v>
      </c>
      <c r="E223" s="331">
        <v>6506700</v>
      </c>
      <c r="F223" s="123">
        <v>3</v>
      </c>
      <c r="G223" s="210">
        <f t="shared" si="13"/>
        <v>19520100</v>
      </c>
    </row>
    <row r="224" spans="1:8" ht="13.5" thickBot="1" x14ac:dyDescent="0.25">
      <c r="A224" s="330">
        <v>3</v>
      </c>
      <c r="B224" s="330" t="s">
        <v>240</v>
      </c>
      <c r="C224" s="330">
        <v>8</v>
      </c>
      <c r="D224" s="331">
        <v>125000</v>
      </c>
      <c r="E224" s="331">
        <v>6612500</v>
      </c>
      <c r="F224" s="123">
        <v>1</v>
      </c>
      <c r="G224" s="210">
        <f t="shared" si="13"/>
        <v>6612500</v>
      </c>
    </row>
    <row r="225" spans="1:8" ht="13.5" thickBot="1" x14ac:dyDescent="0.25">
      <c r="A225" s="330">
        <v>2</v>
      </c>
      <c r="B225" s="330" t="s">
        <v>250</v>
      </c>
      <c r="C225" s="330" t="s">
        <v>390</v>
      </c>
      <c r="D225" s="331">
        <v>115000</v>
      </c>
      <c r="E225" s="331">
        <v>6118000</v>
      </c>
      <c r="F225" s="123">
        <v>4</v>
      </c>
      <c r="G225" s="210">
        <f t="shared" si="13"/>
        <v>24472000</v>
      </c>
    </row>
    <row r="226" spans="1:8" ht="13.5" thickBot="1" x14ac:dyDescent="0.25">
      <c r="A226" s="330">
        <v>3</v>
      </c>
      <c r="B226" s="330" t="s">
        <v>241</v>
      </c>
      <c r="C226" s="330">
        <v>2</v>
      </c>
      <c r="D226" s="331">
        <v>123000</v>
      </c>
      <c r="E226" s="331">
        <v>6555900</v>
      </c>
      <c r="F226" s="123">
        <v>1</v>
      </c>
      <c r="G226" s="210">
        <f t="shared" si="13"/>
        <v>6555900</v>
      </c>
    </row>
    <row r="227" spans="1:8" ht="13.5" thickBot="1" x14ac:dyDescent="0.25">
      <c r="A227" s="330">
        <v>2</v>
      </c>
      <c r="B227" s="330" t="s">
        <v>251</v>
      </c>
      <c r="C227" s="330">
        <v>2</v>
      </c>
      <c r="D227" s="331">
        <v>115000</v>
      </c>
      <c r="E227" s="331">
        <v>6164000</v>
      </c>
      <c r="F227" s="123">
        <v>1</v>
      </c>
      <c r="G227" s="210">
        <f t="shared" si="13"/>
        <v>6164000</v>
      </c>
    </row>
    <row r="228" spans="1:8" ht="13.5" thickBot="1" x14ac:dyDescent="0.25">
      <c r="A228" s="330">
        <v>3</v>
      </c>
      <c r="B228" s="330" t="s">
        <v>255</v>
      </c>
      <c r="C228" s="330" t="s">
        <v>237</v>
      </c>
      <c r="D228" s="331">
        <v>120000</v>
      </c>
      <c r="E228" s="331">
        <v>7908000</v>
      </c>
      <c r="F228" s="123">
        <v>6</v>
      </c>
      <c r="G228" s="210">
        <f t="shared" si="13"/>
        <v>47448000</v>
      </c>
    </row>
    <row r="229" spans="1:8" ht="13.5" thickBot="1" x14ac:dyDescent="0.25">
      <c r="A229" s="330">
        <v>3</v>
      </c>
      <c r="B229" s="330" t="s">
        <v>256</v>
      </c>
      <c r="C229" s="330">
        <v>2</v>
      </c>
      <c r="D229" s="331">
        <v>120000</v>
      </c>
      <c r="E229" s="331">
        <v>7956000</v>
      </c>
      <c r="F229" s="123">
        <v>1</v>
      </c>
      <c r="G229" s="210">
        <f t="shared" si="13"/>
        <v>7956000</v>
      </c>
    </row>
    <row r="230" spans="1:8" ht="13.5" thickBot="1" x14ac:dyDescent="0.25">
      <c r="A230" s="330">
        <v>3</v>
      </c>
      <c r="B230" s="330" t="s">
        <v>191</v>
      </c>
      <c r="C230" s="330" t="s">
        <v>237</v>
      </c>
      <c r="D230" s="331">
        <v>110000</v>
      </c>
      <c r="E230" s="331">
        <v>9185000</v>
      </c>
      <c r="F230" s="123">
        <v>6</v>
      </c>
      <c r="G230" s="209">
        <f t="shared" si="13"/>
        <v>55110000</v>
      </c>
      <c r="H230" s="98"/>
    </row>
    <row r="231" spans="1:8" ht="13.5" thickBot="1" x14ac:dyDescent="0.25">
      <c r="A231" s="330">
        <v>3</v>
      </c>
      <c r="B231" s="330" t="s">
        <v>254</v>
      </c>
      <c r="C231" s="330">
        <v>2</v>
      </c>
      <c r="D231" s="331">
        <v>110000</v>
      </c>
      <c r="E231" s="331">
        <v>9229000</v>
      </c>
      <c r="F231" s="123">
        <v>1</v>
      </c>
      <c r="G231" s="209">
        <f t="shared" si="13"/>
        <v>9229000</v>
      </c>
      <c r="H231" s="98"/>
    </row>
    <row r="232" spans="1:8" x14ac:dyDescent="0.2">
      <c r="A232" s="258" t="s">
        <v>317</v>
      </c>
      <c r="B232" s="258"/>
      <c r="C232" s="258"/>
      <c r="D232" s="258"/>
      <c r="E232" s="258"/>
      <c r="F232" s="258"/>
      <c r="G232" s="258"/>
    </row>
    <row r="233" spans="1:8" ht="13.5" thickBot="1" x14ac:dyDescent="0.25">
      <c r="A233" s="207" t="s">
        <v>6</v>
      </c>
      <c r="B233" s="207" t="s">
        <v>7</v>
      </c>
      <c r="C233" s="207" t="s">
        <v>10</v>
      </c>
      <c r="D233" s="208" t="s">
        <v>11</v>
      </c>
      <c r="E233" s="208" t="s">
        <v>12</v>
      </c>
      <c r="F233" s="207" t="s">
        <v>38</v>
      </c>
      <c r="G233" s="207" t="s">
        <v>32</v>
      </c>
    </row>
    <row r="234" spans="1:8" ht="13.5" thickBot="1" x14ac:dyDescent="0.25">
      <c r="A234" s="330" t="s">
        <v>229</v>
      </c>
      <c r="B234" s="330" t="s">
        <v>230</v>
      </c>
      <c r="C234" s="330">
        <v>15</v>
      </c>
      <c r="D234" s="331">
        <v>146000</v>
      </c>
      <c r="E234" s="331">
        <v>4044200</v>
      </c>
      <c r="F234" s="123">
        <v>1</v>
      </c>
      <c r="G234" s="123">
        <f t="shared" ref="G234:G251" si="14">F234*E234</f>
        <v>4044200</v>
      </c>
    </row>
    <row r="235" spans="1:8" ht="13.5" thickBot="1" x14ac:dyDescent="0.25">
      <c r="A235" s="330" t="s">
        <v>229</v>
      </c>
      <c r="B235" s="330" t="s">
        <v>230</v>
      </c>
      <c r="C235" s="330">
        <v>16</v>
      </c>
      <c r="D235" s="331">
        <v>148000</v>
      </c>
      <c r="E235" s="331">
        <v>4099600</v>
      </c>
      <c r="F235" s="123">
        <v>1</v>
      </c>
      <c r="G235" s="123">
        <f t="shared" si="14"/>
        <v>4099600</v>
      </c>
    </row>
    <row r="236" spans="1:8" ht="13.5" thickBot="1" x14ac:dyDescent="0.25">
      <c r="A236" s="330" t="s">
        <v>229</v>
      </c>
      <c r="B236" s="330" t="s">
        <v>190</v>
      </c>
      <c r="C236" s="330">
        <v>14</v>
      </c>
      <c r="D236" s="331">
        <v>137000</v>
      </c>
      <c r="E236" s="331">
        <v>4164800</v>
      </c>
      <c r="F236" s="123">
        <v>1</v>
      </c>
      <c r="G236" s="210">
        <f t="shared" si="14"/>
        <v>4164800</v>
      </c>
    </row>
    <row r="237" spans="1:8" ht="13.5" thickBot="1" x14ac:dyDescent="0.25">
      <c r="A237" s="330" t="s">
        <v>229</v>
      </c>
      <c r="B237" s="330" t="s">
        <v>190</v>
      </c>
      <c r="C237" s="330">
        <v>15</v>
      </c>
      <c r="D237" s="331">
        <v>140000</v>
      </c>
      <c r="E237" s="331">
        <v>4256000</v>
      </c>
      <c r="F237" s="123">
        <v>1</v>
      </c>
      <c r="G237" s="210">
        <f t="shared" si="14"/>
        <v>4256000</v>
      </c>
    </row>
    <row r="238" spans="1:8" ht="13.5" thickBot="1" x14ac:dyDescent="0.25">
      <c r="A238" s="330">
        <v>2</v>
      </c>
      <c r="B238" s="330" t="s">
        <v>231</v>
      </c>
      <c r="C238" s="330" t="s">
        <v>391</v>
      </c>
      <c r="D238" s="331">
        <v>140000</v>
      </c>
      <c r="E238" s="331">
        <v>5446000</v>
      </c>
      <c r="F238" s="123">
        <v>4</v>
      </c>
      <c r="G238" s="210">
        <f t="shared" si="14"/>
        <v>21784000</v>
      </c>
    </row>
    <row r="239" spans="1:8" ht="13.5" thickBot="1" x14ac:dyDescent="0.25">
      <c r="A239" s="330">
        <v>2</v>
      </c>
      <c r="B239" s="330" t="s">
        <v>236</v>
      </c>
      <c r="C239" s="330">
        <v>14</v>
      </c>
      <c r="D239" s="331">
        <v>129000</v>
      </c>
      <c r="E239" s="331">
        <v>6153300</v>
      </c>
      <c r="F239" s="123">
        <v>1</v>
      </c>
      <c r="G239" s="123">
        <f t="shared" si="14"/>
        <v>6153300</v>
      </c>
    </row>
    <row r="240" spans="1:8" ht="13.5" thickBot="1" x14ac:dyDescent="0.25">
      <c r="A240" s="330">
        <v>2</v>
      </c>
      <c r="B240" s="330" t="s">
        <v>236</v>
      </c>
      <c r="C240" s="330">
        <v>16</v>
      </c>
      <c r="D240" s="331">
        <v>130000</v>
      </c>
      <c r="E240" s="331">
        <v>6201000</v>
      </c>
      <c r="F240" s="123">
        <v>1</v>
      </c>
      <c r="G240" s="123">
        <f t="shared" si="14"/>
        <v>6201000</v>
      </c>
    </row>
    <row r="241" spans="1:8" ht="13.5" thickBot="1" x14ac:dyDescent="0.25">
      <c r="A241" s="330">
        <v>2</v>
      </c>
      <c r="B241" s="330" t="s">
        <v>236</v>
      </c>
      <c r="C241" s="330">
        <v>17</v>
      </c>
      <c r="D241" s="331">
        <v>133000</v>
      </c>
      <c r="E241" s="331">
        <v>6344100</v>
      </c>
      <c r="F241" s="123">
        <v>1</v>
      </c>
      <c r="G241" s="123">
        <f t="shared" si="14"/>
        <v>6344100</v>
      </c>
    </row>
    <row r="242" spans="1:8" ht="13.5" thickBot="1" x14ac:dyDescent="0.25">
      <c r="A242" s="330">
        <v>3</v>
      </c>
      <c r="B242" s="330" t="s">
        <v>240</v>
      </c>
      <c r="C242" s="330">
        <v>13</v>
      </c>
      <c r="D242" s="331">
        <v>132000</v>
      </c>
      <c r="E242" s="331">
        <v>6982800</v>
      </c>
      <c r="F242" s="123">
        <v>1</v>
      </c>
      <c r="G242" s="210">
        <f t="shared" si="14"/>
        <v>6982800</v>
      </c>
    </row>
    <row r="243" spans="1:8" ht="13.5" thickBot="1" x14ac:dyDescent="0.25">
      <c r="A243" s="330">
        <v>3</v>
      </c>
      <c r="B243" s="330" t="s">
        <v>240</v>
      </c>
      <c r="C243" s="330">
        <v>16</v>
      </c>
      <c r="D243" s="331">
        <v>133000</v>
      </c>
      <c r="E243" s="331">
        <v>7035700</v>
      </c>
      <c r="F243" s="123">
        <v>1</v>
      </c>
      <c r="G243" s="210">
        <f t="shared" si="14"/>
        <v>7035700</v>
      </c>
    </row>
    <row r="244" spans="1:8" ht="13.5" thickBot="1" x14ac:dyDescent="0.25">
      <c r="A244" s="330">
        <v>2</v>
      </c>
      <c r="B244" s="330" t="s">
        <v>250</v>
      </c>
      <c r="C244" s="330" t="s">
        <v>392</v>
      </c>
      <c r="D244" s="331">
        <v>117000</v>
      </c>
      <c r="E244" s="331">
        <v>6224400</v>
      </c>
      <c r="F244" s="123">
        <v>5</v>
      </c>
      <c r="G244" s="210">
        <f t="shared" si="14"/>
        <v>31122000</v>
      </c>
    </row>
    <row r="245" spans="1:8" ht="13.5" thickBot="1" x14ac:dyDescent="0.25">
      <c r="A245" s="330">
        <v>2</v>
      </c>
      <c r="B245" s="330" t="s">
        <v>251</v>
      </c>
      <c r="C245" s="330">
        <v>2</v>
      </c>
      <c r="D245" s="331">
        <v>117000</v>
      </c>
      <c r="E245" s="331">
        <v>6271200</v>
      </c>
      <c r="F245" s="123">
        <v>1</v>
      </c>
      <c r="G245" s="210">
        <f t="shared" si="14"/>
        <v>6271200</v>
      </c>
    </row>
    <row r="246" spans="1:8" ht="13.5" thickBot="1" x14ac:dyDescent="0.25">
      <c r="A246" s="330">
        <v>1</v>
      </c>
      <c r="B246" s="330" t="s">
        <v>251</v>
      </c>
      <c r="C246" s="330">
        <v>2</v>
      </c>
      <c r="D246" s="331">
        <v>117000</v>
      </c>
      <c r="E246" s="331">
        <v>6271200</v>
      </c>
      <c r="F246" s="123">
        <v>1</v>
      </c>
      <c r="G246" s="210">
        <f t="shared" si="14"/>
        <v>6271200</v>
      </c>
    </row>
    <row r="247" spans="1:8" ht="13.5" thickBot="1" x14ac:dyDescent="0.25">
      <c r="A247" s="330">
        <v>2</v>
      </c>
      <c r="B247" s="330" t="s">
        <v>243</v>
      </c>
      <c r="C247" s="330" t="s">
        <v>315</v>
      </c>
      <c r="D247" s="331">
        <v>107000</v>
      </c>
      <c r="E247" s="331">
        <v>7104800</v>
      </c>
      <c r="F247" s="123">
        <v>7</v>
      </c>
      <c r="G247" s="210">
        <f t="shared" si="14"/>
        <v>49733600</v>
      </c>
    </row>
    <row r="248" spans="1:8" ht="13.5" thickBot="1" x14ac:dyDescent="0.25">
      <c r="A248" s="330">
        <v>2</v>
      </c>
      <c r="B248" s="330" t="s">
        <v>257</v>
      </c>
      <c r="C248" s="330">
        <v>2</v>
      </c>
      <c r="D248" s="331">
        <v>107000</v>
      </c>
      <c r="E248" s="331">
        <v>7147600</v>
      </c>
      <c r="F248" s="123">
        <v>1</v>
      </c>
      <c r="G248" s="210">
        <f t="shared" si="14"/>
        <v>7147600</v>
      </c>
    </row>
    <row r="249" spans="1:8" ht="13.5" thickBot="1" x14ac:dyDescent="0.25">
      <c r="A249" s="330">
        <v>4</v>
      </c>
      <c r="B249" s="330" t="s">
        <v>253</v>
      </c>
      <c r="C249" s="330" t="s">
        <v>393</v>
      </c>
      <c r="D249" s="331">
        <v>113000</v>
      </c>
      <c r="E249" s="331">
        <v>9401600</v>
      </c>
      <c r="F249" s="123">
        <v>3</v>
      </c>
      <c r="G249" s="209">
        <f t="shared" si="14"/>
        <v>28204800</v>
      </c>
      <c r="H249" s="98"/>
    </row>
    <row r="250" spans="1:8" ht="13.5" thickBot="1" x14ac:dyDescent="0.25">
      <c r="A250" s="330">
        <v>3</v>
      </c>
      <c r="B250" s="330" t="s">
        <v>258</v>
      </c>
      <c r="C250" s="330" t="s">
        <v>316</v>
      </c>
      <c r="D250" s="331">
        <v>105000</v>
      </c>
      <c r="E250" s="331">
        <v>8778000</v>
      </c>
      <c r="F250" s="123">
        <v>10</v>
      </c>
      <c r="G250" s="209">
        <f t="shared" si="14"/>
        <v>87780000</v>
      </c>
      <c r="H250" s="98"/>
    </row>
    <row r="251" spans="1:8" ht="13.5" thickBot="1" x14ac:dyDescent="0.25">
      <c r="A251" s="330">
        <v>2</v>
      </c>
      <c r="B251" s="330">
        <v>84</v>
      </c>
      <c r="C251" s="330">
        <v>2</v>
      </c>
      <c r="D251" s="331">
        <v>105000</v>
      </c>
      <c r="E251" s="331">
        <v>8820000</v>
      </c>
      <c r="F251" s="123">
        <v>1</v>
      </c>
      <c r="G251" s="209">
        <f t="shared" si="14"/>
        <v>8820000</v>
      </c>
      <c r="H251" s="98"/>
    </row>
    <row r="252" spans="1:8" ht="13.5" thickBot="1" x14ac:dyDescent="0.25">
      <c r="A252" s="258" t="s">
        <v>318</v>
      </c>
      <c r="B252" s="258"/>
      <c r="C252" s="258"/>
      <c r="D252" s="258"/>
      <c r="E252" s="258"/>
      <c r="F252" s="258"/>
      <c r="G252" s="258"/>
    </row>
    <row r="253" spans="1:8" ht="13.5" thickBot="1" x14ac:dyDescent="0.25">
      <c r="A253" s="330" t="s">
        <v>229</v>
      </c>
      <c r="B253" s="330" t="s">
        <v>259</v>
      </c>
      <c r="C253" s="330" t="s">
        <v>394</v>
      </c>
      <c r="D253" s="331">
        <v>135400</v>
      </c>
      <c r="E253" s="331">
        <v>3845360</v>
      </c>
      <c r="F253" s="123">
        <v>3</v>
      </c>
      <c r="G253" s="123">
        <f t="shared" ref="G253:G273" si="15">F253*E253</f>
        <v>11536080</v>
      </c>
    </row>
    <row r="254" spans="1:8" ht="13.5" thickBot="1" x14ac:dyDescent="0.25">
      <c r="A254" s="330" t="s">
        <v>229</v>
      </c>
      <c r="B254" s="330" t="s">
        <v>260</v>
      </c>
      <c r="C254" s="330" t="s">
        <v>321</v>
      </c>
      <c r="D254" s="331">
        <v>133000</v>
      </c>
      <c r="E254" s="331">
        <v>3963400</v>
      </c>
      <c r="F254" s="123">
        <v>3</v>
      </c>
      <c r="G254" s="123">
        <f t="shared" si="15"/>
        <v>11890200</v>
      </c>
    </row>
    <row r="255" spans="1:8" ht="13.5" thickBot="1" x14ac:dyDescent="0.25">
      <c r="A255" s="330" t="s">
        <v>229</v>
      </c>
      <c r="B255" s="330" t="s">
        <v>260</v>
      </c>
      <c r="C255" s="330" t="s">
        <v>395</v>
      </c>
      <c r="D255" s="331">
        <v>135400</v>
      </c>
      <c r="E255" s="331">
        <v>4034920</v>
      </c>
      <c r="F255" s="123">
        <v>3</v>
      </c>
      <c r="G255" s="123">
        <f t="shared" si="15"/>
        <v>12104760</v>
      </c>
    </row>
    <row r="256" spans="1:8" ht="13.5" thickBot="1" x14ac:dyDescent="0.25">
      <c r="A256" s="330" t="s">
        <v>229</v>
      </c>
      <c r="B256" s="330" t="s">
        <v>261</v>
      </c>
      <c r="C256" s="330" t="s">
        <v>262</v>
      </c>
      <c r="D256" s="331">
        <v>130000</v>
      </c>
      <c r="E256" s="331">
        <v>4069000</v>
      </c>
      <c r="F256" s="123">
        <v>6</v>
      </c>
      <c r="G256" s="210">
        <f t="shared" si="15"/>
        <v>24414000</v>
      </c>
    </row>
    <row r="257" spans="1:8" ht="13.5" thickBot="1" x14ac:dyDescent="0.25">
      <c r="A257" s="330" t="s">
        <v>229</v>
      </c>
      <c r="B257" s="330" t="s">
        <v>261</v>
      </c>
      <c r="C257" s="330" t="s">
        <v>232</v>
      </c>
      <c r="D257" s="331">
        <v>132400</v>
      </c>
      <c r="E257" s="331">
        <v>4144120</v>
      </c>
      <c r="F257" s="123">
        <v>2</v>
      </c>
      <c r="G257" s="210">
        <f t="shared" si="15"/>
        <v>8288240</v>
      </c>
    </row>
    <row r="258" spans="1:8" ht="13.5" thickBot="1" x14ac:dyDescent="0.25">
      <c r="A258" s="330" t="s">
        <v>229</v>
      </c>
      <c r="B258" s="330" t="s">
        <v>263</v>
      </c>
      <c r="C258" s="330">
        <v>5</v>
      </c>
      <c r="D258" s="331">
        <v>120000</v>
      </c>
      <c r="E258" s="331">
        <v>4188000</v>
      </c>
      <c r="F258" s="123">
        <v>1</v>
      </c>
      <c r="G258" s="210">
        <f t="shared" si="15"/>
        <v>4188000</v>
      </c>
    </row>
    <row r="259" spans="1:8" ht="13.5" thickBot="1" x14ac:dyDescent="0.25">
      <c r="A259" s="330" t="s">
        <v>229</v>
      </c>
      <c r="B259" s="330" t="s">
        <v>263</v>
      </c>
      <c r="C259" s="330">
        <v>11</v>
      </c>
      <c r="D259" s="331">
        <v>123000</v>
      </c>
      <c r="E259" s="331">
        <v>4292700</v>
      </c>
      <c r="F259" s="123">
        <v>1</v>
      </c>
      <c r="G259" s="210">
        <f t="shared" si="15"/>
        <v>4292700</v>
      </c>
    </row>
    <row r="260" spans="1:8" ht="13.5" thickBot="1" x14ac:dyDescent="0.25">
      <c r="A260" s="330" t="s">
        <v>229</v>
      </c>
      <c r="B260" s="330" t="s">
        <v>263</v>
      </c>
      <c r="C260" s="330">
        <v>12</v>
      </c>
      <c r="D260" s="331">
        <v>124400</v>
      </c>
      <c r="E260" s="331">
        <v>4341560</v>
      </c>
      <c r="F260" s="123">
        <v>1</v>
      </c>
      <c r="G260" s="210">
        <f t="shared" si="15"/>
        <v>4341560</v>
      </c>
    </row>
    <row r="261" spans="1:8" ht="13.5" thickBot="1" x14ac:dyDescent="0.25">
      <c r="A261" s="330">
        <v>2</v>
      </c>
      <c r="B261" s="330" t="s">
        <v>264</v>
      </c>
      <c r="C261" s="330" t="s">
        <v>202</v>
      </c>
      <c r="D261" s="331">
        <v>123000</v>
      </c>
      <c r="E261" s="331">
        <v>5448900</v>
      </c>
      <c r="F261" s="123">
        <v>2</v>
      </c>
      <c r="G261" s="123">
        <f t="shared" si="15"/>
        <v>10897800</v>
      </c>
    </row>
    <row r="262" spans="1:8" ht="13.5" thickBot="1" x14ac:dyDescent="0.25">
      <c r="A262" s="330">
        <v>2</v>
      </c>
      <c r="B262" s="330" t="s">
        <v>264</v>
      </c>
      <c r="C262" s="330" t="s">
        <v>395</v>
      </c>
      <c r="D262" s="331">
        <v>125200</v>
      </c>
      <c r="E262" s="331">
        <v>5546360</v>
      </c>
      <c r="F262" s="123">
        <v>3</v>
      </c>
      <c r="G262" s="123">
        <f t="shared" si="15"/>
        <v>16639080</v>
      </c>
    </row>
    <row r="263" spans="1:8" ht="13.5" thickBot="1" x14ac:dyDescent="0.25">
      <c r="A263" s="330">
        <v>2</v>
      </c>
      <c r="B263" s="330" t="s">
        <v>264</v>
      </c>
      <c r="C263" s="330">
        <v>12</v>
      </c>
      <c r="D263" s="331">
        <v>127500</v>
      </c>
      <c r="E263" s="331">
        <v>5648250</v>
      </c>
      <c r="F263" s="123">
        <v>1</v>
      </c>
      <c r="G263" s="123">
        <f t="shared" si="15"/>
        <v>5648250</v>
      </c>
    </row>
    <row r="264" spans="1:8" ht="13.5" thickBot="1" x14ac:dyDescent="0.25">
      <c r="A264" s="330">
        <v>2</v>
      </c>
      <c r="B264" s="330" t="s">
        <v>265</v>
      </c>
      <c r="C264" s="330">
        <v>2</v>
      </c>
      <c r="D264" s="331">
        <v>123000</v>
      </c>
      <c r="E264" s="331">
        <v>5510400</v>
      </c>
      <c r="F264" s="123">
        <v>1</v>
      </c>
      <c r="G264" s="123">
        <f t="shared" si="15"/>
        <v>5510400</v>
      </c>
    </row>
    <row r="265" spans="1:8" ht="13.5" thickBot="1" x14ac:dyDescent="0.25">
      <c r="A265" s="330">
        <v>2</v>
      </c>
      <c r="B265" s="330" t="s">
        <v>226</v>
      </c>
      <c r="C265" s="330" t="s">
        <v>319</v>
      </c>
      <c r="D265" s="331">
        <v>118000</v>
      </c>
      <c r="E265" s="331">
        <v>6808600</v>
      </c>
      <c r="F265" s="123">
        <v>5</v>
      </c>
      <c r="G265" s="210">
        <f t="shared" si="15"/>
        <v>34043000</v>
      </c>
    </row>
    <row r="266" spans="1:8" ht="13.5" thickBot="1" x14ac:dyDescent="0.25">
      <c r="A266" s="330">
        <v>2</v>
      </c>
      <c r="B266" s="330" t="s">
        <v>226</v>
      </c>
      <c r="C266" s="330" t="s">
        <v>395</v>
      </c>
      <c r="D266" s="331">
        <v>120100</v>
      </c>
      <c r="E266" s="331">
        <v>6929770</v>
      </c>
      <c r="F266" s="123">
        <v>3</v>
      </c>
      <c r="G266" s="210">
        <f t="shared" si="15"/>
        <v>20789310</v>
      </c>
    </row>
    <row r="267" spans="1:8" ht="13.5" thickBot="1" x14ac:dyDescent="0.25">
      <c r="A267" s="330">
        <v>2</v>
      </c>
      <c r="B267" s="330" t="s">
        <v>266</v>
      </c>
      <c r="C267" s="330">
        <v>2</v>
      </c>
      <c r="D267" s="331">
        <v>118000</v>
      </c>
      <c r="E267" s="331">
        <v>6832200</v>
      </c>
      <c r="F267" s="123">
        <v>1</v>
      </c>
      <c r="G267" s="210">
        <f t="shared" si="15"/>
        <v>6832200</v>
      </c>
    </row>
    <row r="268" spans="1:8" ht="13.5" thickBot="1" x14ac:dyDescent="0.25">
      <c r="A268" s="330">
        <v>4</v>
      </c>
      <c r="B268" s="330" t="s">
        <v>221</v>
      </c>
      <c r="C268" s="330" t="s">
        <v>319</v>
      </c>
      <c r="D268" s="331">
        <v>115000</v>
      </c>
      <c r="E268" s="331">
        <v>8452500</v>
      </c>
      <c r="F268" s="123">
        <v>5</v>
      </c>
      <c r="G268" s="123">
        <f t="shared" si="15"/>
        <v>42262500</v>
      </c>
    </row>
    <row r="269" spans="1:8" ht="13.5" thickBot="1" x14ac:dyDescent="0.25">
      <c r="A269" s="330">
        <v>4</v>
      </c>
      <c r="B269" s="330" t="s">
        <v>221</v>
      </c>
      <c r="C269" s="330" t="s">
        <v>395</v>
      </c>
      <c r="D269" s="331">
        <v>117100</v>
      </c>
      <c r="E269" s="331">
        <v>8606850</v>
      </c>
      <c r="F269" s="123">
        <v>3</v>
      </c>
      <c r="G269" s="123">
        <f t="shared" si="15"/>
        <v>25820550</v>
      </c>
    </row>
    <row r="270" spans="1:8" ht="13.5" thickBot="1" x14ac:dyDescent="0.25">
      <c r="A270" s="330">
        <v>4</v>
      </c>
      <c r="B270" s="330" t="s">
        <v>267</v>
      </c>
      <c r="C270" s="330">
        <v>2</v>
      </c>
      <c r="D270" s="331">
        <v>115000</v>
      </c>
      <c r="E270" s="331">
        <v>8533000</v>
      </c>
      <c r="F270" s="123">
        <v>1</v>
      </c>
      <c r="G270" s="123">
        <f t="shared" si="15"/>
        <v>8533000</v>
      </c>
    </row>
    <row r="271" spans="1:8" ht="13.5" thickBot="1" x14ac:dyDescent="0.25">
      <c r="A271" s="330">
        <v>3</v>
      </c>
      <c r="B271" s="330" t="s">
        <v>268</v>
      </c>
      <c r="C271" s="330" t="s">
        <v>237</v>
      </c>
      <c r="D271" s="331">
        <v>105000</v>
      </c>
      <c r="E271" s="331">
        <v>9156000</v>
      </c>
      <c r="F271" s="123">
        <v>6</v>
      </c>
      <c r="G271" s="209">
        <f t="shared" si="15"/>
        <v>54936000</v>
      </c>
      <c r="H271" s="98"/>
    </row>
    <row r="272" spans="1:8" ht="13.5" thickBot="1" x14ac:dyDescent="0.25">
      <c r="A272" s="330">
        <v>3</v>
      </c>
      <c r="B272" s="330" t="s">
        <v>268</v>
      </c>
      <c r="C272" s="330" t="s">
        <v>395</v>
      </c>
      <c r="D272" s="331">
        <v>106900</v>
      </c>
      <c r="E272" s="331">
        <v>9321680</v>
      </c>
      <c r="F272" s="123">
        <v>3</v>
      </c>
      <c r="G272" s="209">
        <f t="shared" si="15"/>
        <v>27965040</v>
      </c>
      <c r="H272" s="98"/>
    </row>
    <row r="273" spans="1:8" ht="13.5" thickBot="1" x14ac:dyDescent="0.25">
      <c r="A273" s="330">
        <v>3</v>
      </c>
      <c r="B273" s="330" t="s">
        <v>269</v>
      </c>
      <c r="C273" s="330">
        <v>2</v>
      </c>
      <c r="D273" s="331">
        <v>105000</v>
      </c>
      <c r="E273" s="331">
        <v>9229500</v>
      </c>
      <c r="F273" s="123">
        <v>1</v>
      </c>
      <c r="G273" s="209">
        <f t="shared" si="15"/>
        <v>9229500</v>
      </c>
      <c r="H273" s="98"/>
    </row>
    <row r="274" spans="1:8" x14ac:dyDescent="0.2">
      <c r="A274" s="258" t="s">
        <v>270</v>
      </c>
      <c r="B274" s="258"/>
      <c r="C274" s="258"/>
      <c r="D274" s="258"/>
      <c r="E274" s="258"/>
      <c r="F274" s="258"/>
      <c r="G274" s="258"/>
    </row>
    <row r="275" spans="1:8" ht="13.5" thickBot="1" x14ac:dyDescent="0.25">
      <c r="A275" s="207" t="s">
        <v>6</v>
      </c>
      <c r="B275" s="207" t="s">
        <v>7</v>
      </c>
      <c r="C275" s="207" t="s">
        <v>10</v>
      </c>
      <c r="D275" s="208" t="s">
        <v>11</v>
      </c>
      <c r="E275" s="208" t="s">
        <v>12</v>
      </c>
      <c r="F275" s="207" t="s">
        <v>38</v>
      </c>
      <c r="G275" s="207" t="s">
        <v>32</v>
      </c>
    </row>
    <row r="276" spans="1:8" ht="13.5" thickBot="1" x14ac:dyDescent="0.25">
      <c r="A276" s="330" t="s">
        <v>229</v>
      </c>
      <c r="B276" s="330" t="s">
        <v>225</v>
      </c>
      <c r="C276" s="330" t="s">
        <v>307</v>
      </c>
      <c r="D276" s="331">
        <v>128000</v>
      </c>
      <c r="E276" s="331">
        <v>3353600</v>
      </c>
      <c r="F276" s="123">
        <v>3</v>
      </c>
      <c r="G276" s="123">
        <f t="shared" ref="G276:G288" si="16">F276*E276</f>
        <v>10060800</v>
      </c>
    </row>
    <row r="277" spans="1:8" ht="13.5" thickBot="1" x14ac:dyDescent="0.25">
      <c r="A277" s="330" t="s">
        <v>229</v>
      </c>
      <c r="B277" s="330" t="s">
        <v>271</v>
      </c>
      <c r="C277" s="330">
        <v>2</v>
      </c>
      <c r="D277" s="331">
        <v>125000</v>
      </c>
      <c r="E277" s="331">
        <v>3300000</v>
      </c>
      <c r="F277" s="123">
        <v>1</v>
      </c>
      <c r="G277" s="123">
        <f t="shared" si="16"/>
        <v>3300000</v>
      </c>
    </row>
    <row r="278" spans="1:8" ht="13.5" thickBot="1" x14ac:dyDescent="0.25">
      <c r="A278" s="330" t="s">
        <v>229</v>
      </c>
      <c r="B278" s="330" t="s">
        <v>230</v>
      </c>
      <c r="C278" s="330">
        <v>13</v>
      </c>
      <c r="D278" s="331">
        <v>130000</v>
      </c>
      <c r="E278" s="331">
        <v>3601000</v>
      </c>
      <c r="F278" s="123">
        <v>1</v>
      </c>
      <c r="G278" s="123">
        <f t="shared" si="16"/>
        <v>3601000</v>
      </c>
    </row>
    <row r="279" spans="1:8" ht="13.5" thickBot="1" x14ac:dyDescent="0.25">
      <c r="A279" s="330">
        <v>2</v>
      </c>
      <c r="B279" s="330" t="s">
        <v>272</v>
      </c>
      <c r="C279" s="330" t="s">
        <v>273</v>
      </c>
      <c r="D279" s="331">
        <v>117000</v>
      </c>
      <c r="E279" s="331">
        <v>4574700</v>
      </c>
      <c r="F279" s="123">
        <v>2</v>
      </c>
      <c r="G279" s="210">
        <f t="shared" si="16"/>
        <v>9149400</v>
      </c>
    </row>
    <row r="280" spans="1:8" ht="13.5" thickBot="1" x14ac:dyDescent="0.25">
      <c r="A280" s="330">
        <v>2</v>
      </c>
      <c r="B280" s="330" t="s">
        <v>272</v>
      </c>
      <c r="C280" s="330">
        <v>10</v>
      </c>
      <c r="D280" s="331">
        <v>119000</v>
      </c>
      <c r="E280" s="331">
        <v>4652900</v>
      </c>
      <c r="F280" s="123">
        <v>1</v>
      </c>
      <c r="G280" s="210">
        <f t="shared" si="16"/>
        <v>4652900</v>
      </c>
    </row>
    <row r="281" spans="1:8" ht="13.5" thickBot="1" x14ac:dyDescent="0.25">
      <c r="A281" s="330">
        <v>2</v>
      </c>
      <c r="B281" s="330" t="s">
        <v>216</v>
      </c>
      <c r="C281" s="330" t="s">
        <v>396</v>
      </c>
      <c r="D281" s="331">
        <v>115000</v>
      </c>
      <c r="E281" s="331">
        <v>5612000</v>
      </c>
      <c r="F281" s="123">
        <v>7</v>
      </c>
      <c r="G281" s="123">
        <f t="shared" si="16"/>
        <v>39284000</v>
      </c>
    </row>
    <row r="282" spans="1:8" ht="26.25" thickBot="1" x14ac:dyDescent="0.25">
      <c r="A282" s="330">
        <v>2</v>
      </c>
      <c r="B282" s="330">
        <v>49</v>
      </c>
      <c r="C282" s="330" t="s">
        <v>397</v>
      </c>
      <c r="D282" s="331">
        <v>110000</v>
      </c>
      <c r="E282" s="331">
        <v>5390000</v>
      </c>
      <c r="F282" s="123">
        <v>12</v>
      </c>
      <c r="G282" s="123">
        <f t="shared" si="16"/>
        <v>64680000</v>
      </c>
    </row>
    <row r="283" spans="1:8" ht="13.5" thickBot="1" x14ac:dyDescent="0.25">
      <c r="A283" s="330">
        <v>2</v>
      </c>
      <c r="B283" s="330" t="s">
        <v>274</v>
      </c>
      <c r="C283" s="330" t="s">
        <v>320</v>
      </c>
      <c r="D283" s="331">
        <v>113000</v>
      </c>
      <c r="E283" s="331">
        <v>5548300</v>
      </c>
      <c r="F283" s="123">
        <v>2</v>
      </c>
      <c r="G283" s="123">
        <f t="shared" si="16"/>
        <v>11096600</v>
      </c>
    </row>
    <row r="284" spans="1:8" ht="26.25" thickBot="1" x14ac:dyDescent="0.25">
      <c r="A284" s="330">
        <v>2</v>
      </c>
      <c r="B284" s="330" t="s">
        <v>275</v>
      </c>
      <c r="C284" s="330" t="s">
        <v>397</v>
      </c>
      <c r="D284" s="331">
        <v>107000</v>
      </c>
      <c r="E284" s="331">
        <v>6163200</v>
      </c>
      <c r="F284" s="123">
        <v>12</v>
      </c>
      <c r="G284" s="210">
        <f t="shared" si="16"/>
        <v>73958400</v>
      </c>
    </row>
    <row r="285" spans="1:8" ht="13.5" thickBot="1" x14ac:dyDescent="0.25">
      <c r="A285" s="330">
        <v>2</v>
      </c>
      <c r="B285" s="330" t="s">
        <v>226</v>
      </c>
      <c r="C285" s="330" t="s">
        <v>398</v>
      </c>
      <c r="D285" s="331">
        <v>111000</v>
      </c>
      <c r="E285" s="331">
        <v>6404700</v>
      </c>
      <c r="F285" s="123">
        <v>4</v>
      </c>
      <c r="G285" s="210">
        <f t="shared" si="16"/>
        <v>25618800</v>
      </c>
    </row>
    <row r="286" spans="1:8" ht="13.5" thickBot="1" x14ac:dyDescent="0.25">
      <c r="A286" s="330">
        <v>2</v>
      </c>
      <c r="B286" s="330">
        <v>58</v>
      </c>
      <c r="C286" s="330" t="s">
        <v>321</v>
      </c>
      <c r="D286" s="331">
        <v>107000</v>
      </c>
      <c r="E286" s="331">
        <v>6206000</v>
      </c>
      <c r="F286" s="123">
        <v>3</v>
      </c>
      <c r="G286" s="210">
        <f t="shared" si="16"/>
        <v>18618000</v>
      </c>
    </row>
    <row r="287" spans="1:8" ht="26.25" thickBot="1" x14ac:dyDescent="0.25">
      <c r="A287" s="330">
        <v>2</v>
      </c>
      <c r="B287" s="330" t="s">
        <v>227</v>
      </c>
      <c r="C287" s="330" t="s">
        <v>399</v>
      </c>
      <c r="D287" s="331">
        <v>110000</v>
      </c>
      <c r="E287" s="331">
        <v>7425000</v>
      </c>
      <c r="F287" s="123">
        <v>10</v>
      </c>
      <c r="G287" s="210">
        <f t="shared" si="16"/>
        <v>74250000</v>
      </c>
    </row>
    <row r="288" spans="1:8" ht="13.5" thickBot="1" x14ac:dyDescent="0.25">
      <c r="A288" s="330">
        <v>2</v>
      </c>
      <c r="B288" s="330" t="s">
        <v>276</v>
      </c>
      <c r="C288" s="330">
        <v>2</v>
      </c>
      <c r="D288" s="331">
        <v>110000</v>
      </c>
      <c r="E288" s="331">
        <v>7447000</v>
      </c>
      <c r="F288" s="123">
        <v>1</v>
      </c>
      <c r="G288" s="210">
        <f t="shared" si="16"/>
        <v>7447000</v>
      </c>
    </row>
    <row r="289" spans="1:8" x14ac:dyDescent="0.2">
      <c r="A289" s="258" t="s">
        <v>322</v>
      </c>
      <c r="B289" s="258"/>
      <c r="C289" s="258"/>
      <c r="D289" s="258"/>
      <c r="E289" s="258"/>
      <c r="F289" s="258"/>
      <c r="G289" s="258"/>
    </row>
    <row r="290" spans="1:8" ht="13.5" thickBot="1" x14ac:dyDescent="0.25">
      <c r="A290" s="207" t="s">
        <v>6</v>
      </c>
      <c r="B290" s="207" t="s">
        <v>7</v>
      </c>
      <c r="C290" s="207" t="s">
        <v>10</v>
      </c>
      <c r="D290" s="208" t="s">
        <v>11</v>
      </c>
      <c r="E290" s="208" t="s">
        <v>12</v>
      </c>
      <c r="F290" s="207" t="s">
        <v>38</v>
      </c>
      <c r="G290" s="207" t="s">
        <v>32</v>
      </c>
    </row>
    <row r="291" spans="1:8" ht="13.5" thickBot="1" x14ac:dyDescent="0.25">
      <c r="A291" s="330">
        <v>2</v>
      </c>
      <c r="B291" s="330" t="s">
        <v>189</v>
      </c>
      <c r="C291" s="330">
        <v>17</v>
      </c>
      <c r="D291" s="331">
        <v>140000</v>
      </c>
      <c r="E291" s="331">
        <v>6790000</v>
      </c>
      <c r="F291" s="123">
        <v>1</v>
      </c>
      <c r="G291" s="123">
        <f>F291*E291</f>
        <v>6790000</v>
      </c>
    </row>
    <row r="292" spans="1:8" ht="13.5" thickBot="1" x14ac:dyDescent="0.25">
      <c r="A292" s="330">
        <v>3</v>
      </c>
      <c r="B292" s="330" t="s">
        <v>246</v>
      </c>
      <c r="C292" s="330" t="s">
        <v>201</v>
      </c>
      <c r="D292" s="331">
        <v>132000</v>
      </c>
      <c r="E292" s="331">
        <v>6930000</v>
      </c>
      <c r="F292" s="123">
        <v>3</v>
      </c>
      <c r="G292" s="210">
        <f t="shared" ref="G292:G294" si="17">F292*E292</f>
        <v>20790000</v>
      </c>
    </row>
    <row r="293" spans="1:8" ht="13.5" thickBot="1" x14ac:dyDescent="0.25">
      <c r="A293" s="330">
        <v>2</v>
      </c>
      <c r="B293" s="330" t="s">
        <v>247</v>
      </c>
      <c r="C293" s="330" t="s">
        <v>415</v>
      </c>
      <c r="D293" s="331">
        <v>126000</v>
      </c>
      <c r="E293" s="331">
        <v>7194600</v>
      </c>
      <c r="F293" s="123">
        <v>5</v>
      </c>
      <c r="G293" s="210">
        <f t="shared" si="17"/>
        <v>35973000</v>
      </c>
    </row>
    <row r="294" spans="1:8" ht="13.5" thickBot="1" x14ac:dyDescent="0.25">
      <c r="A294" s="330">
        <v>2</v>
      </c>
      <c r="B294" s="330" t="s">
        <v>277</v>
      </c>
      <c r="C294" s="330">
        <v>2</v>
      </c>
      <c r="D294" s="331">
        <v>124000</v>
      </c>
      <c r="E294" s="331">
        <v>7452400</v>
      </c>
      <c r="F294" s="123">
        <v>1</v>
      </c>
      <c r="G294" s="210">
        <f t="shared" si="17"/>
        <v>7452400</v>
      </c>
    </row>
    <row r="295" spans="1:8" ht="13.5" thickBot="1" x14ac:dyDescent="0.25">
      <c r="A295" s="330">
        <v>3</v>
      </c>
      <c r="B295" s="330" t="s">
        <v>205</v>
      </c>
      <c r="C295" s="330">
        <v>2</v>
      </c>
      <c r="D295" s="331">
        <v>111000</v>
      </c>
      <c r="E295" s="331">
        <v>9301800</v>
      </c>
      <c r="F295" s="123">
        <v>1</v>
      </c>
      <c r="G295" s="209">
        <f>F295*E295</f>
        <v>9301800</v>
      </c>
      <c r="H295" s="98"/>
    </row>
    <row r="296" spans="1:8" ht="13.5" thickBot="1" x14ac:dyDescent="0.25">
      <c r="A296" s="258" t="s">
        <v>323</v>
      </c>
      <c r="B296" s="258"/>
      <c r="C296" s="258"/>
      <c r="D296" s="258"/>
      <c r="E296" s="258"/>
      <c r="F296" s="258"/>
      <c r="G296" s="258"/>
    </row>
    <row r="297" spans="1:8" ht="13.5" thickBot="1" x14ac:dyDescent="0.25">
      <c r="A297" s="330">
        <v>3</v>
      </c>
      <c r="B297" s="330" t="s">
        <v>240</v>
      </c>
      <c r="C297" s="330">
        <v>16</v>
      </c>
      <c r="D297" s="331">
        <v>131000</v>
      </c>
      <c r="E297" s="331">
        <v>6929900</v>
      </c>
      <c r="F297" s="123">
        <v>1</v>
      </c>
      <c r="G297" s="210">
        <f>F297*E297</f>
        <v>6929900</v>
      </c>
    </row>
    <row r="298" spans="1:8" ht="26.25" thickBot="1" x14ac:dyDescent="0.25">
      <c r="A298" s="330">
        <v>3</v>
      </c>
      <c r="B298" s="330" t="s">
        <v>191</v>
      </c>
      <c r="C298" s="330" t="s">
        <v>278</v>
      </c>
      <c r="D298" s="331">
        <v>111000</v>
      </c>
      <c r="E298" s="331">
        <v>9268500</v>
      </c>
      <c r="F298" s="123">
        <v>15</v>
      </c>
      <c r="G298" s="209">
        <f t="shared" ref="G298:G299" si="18">F298*E298</f>
        <v>139027500</v>
      </c>
      <c r="H298" s="98"/>
    </row>
    <row r="299" spans="1:8" ht="13.5" thickBot="1" x14ac:dyDescent="0.25">
      <c r="A299" s="330">
        <v>3</v>
      </c>
      <c r="B299" s="330" t="s">
        <v>254</v>
      </c>
      <c r="C299" s="330">
        <v>2</v>
      </c>
      <c r="D299" s="331">
        <v>111000</v>
      </c>
      <c r="E299" s="331">
        <v>9312900</v>
      </c>
      <c r="F299" s="123">
        <v>1</v>
      </c>
      <c r="G299" s="209">
        <f t="shared" si="18"/>
        <v>9312900</v>
      </c>
      <c r="H299" s="98"/>
    </row>
    <row r="300" spans="1:8" ht="13.5" thickBot="1" x14ac:dyDescent="0.25">
      <c r="A300" s="258" t="s">
        <v>324</v>
      </c>
      <c r="B300" s="258"/>
      <c r="C300" s="258"/>
      <c r="D300" s="258"/>
      <c r="E300" s="258"/>
      <c r="F300" s="258"/>
      <c r="G300" s="258"/>
    </row>
    <row r="301" spans="1:8" ht="13.5" thickBot="1" x14ac:dyDescent="0.25">
      <c r="A301" s="330">
        <v>2</v>
      </c>
      <c r="B301" s="330" t="s">
        <v>252</v>
      </c>
      <c r="C301" s="330" t="s">
        <v>416</v>
      </c>
      <c r="D301" s="331">
        <v>111000</v>
      </c>
      <c r="E301" s="331">
        <v>7348200</v>
      </c>
      <c r="F301" s="209">
        <v>4</v>
      </c>
      <c r="G301" s="210">
        <f t="shared" ref="G301:G302" si="19">F301*E301</f>
        <v>29392800</v>
      </c>
    </row>
    <row r="302" spans="1:8" ht="13.5" thickBot="1" x14ac:dyDescent="0.25">
      <c r="A302" s="330">
        <v>2</v>
      </c>
      <c r="B302" s="330" t="s">
        <v>206</v>
      </c>
      <c r="C302" s="330">
        <v>2</v>
      </c>
      <c r="D302" s="331">
        <v>111000</v>
      </c>
      <c r="E302" s="331">
        <v>7403700</v>
      </c>
      <c r="F302" s="209">
        <v>1</v>
      </c>
      <c r="G302" s="210">
        <f t="shared" si="19"/>
        <v>7403700</v>
      </c>
    </row>
    <row r="303" spans="1:8" ht="13.5" thickBot="1" x14ac:dyDescent="0.25">
      <c r="A303" s="330">
        <v>4</v>
      </c>
      <c r="B303" s="330" t="s">
        <v>253</v>
      </c>
      <c r="C303" s="330" t="s">
        <v>417</v>
      </c>
      <c r="D303" s="331">
        <v>113000</v>
      </c>
      <c r="E303" s="331">
        <v>9401600</v>
      </c>
      <c r="F303" s="123">
        <v>4</v>
      </c>
      <c r="G303" s="209">
        <f>F303*E303</f>
        <v>37606400</v>
      </c>
      <c r="H303" s="98"/>
    </row>
    <row r="304" spans="1:8" x14ac:dyDescent="0.2">
      <c r="A304" s="258" t="s">
        <v>279</v>
      </c>
      <c r="B304" s="258"/>
      <c r="C304" s="258"/>
      <c r="D304" s="258"/>
      <c r="E304" s="258"/>
      <c r="F304" s="258"/>
      <c r="G304" s="258"/>
    </row>
    <row r="305" spans="1:7" ht="13.5" thickBot="1" x14ac:dyDescent="0.25">
      <c r="A305" s="207" t="s">
        <v>6</v>
      </c>
      <c r="B305" s="207" t="s">
        <v>7</v>
      </c>
      <c r="C305" s="207" t="s">
        <v>10</v>
      </c>
      <c r="D305" s="208" t="s">
        <v>11</v>
      </c>
      <c r="E305" s="208" t="s">
        <v>12</v>
      </c>
      <c r="F305" s="207" t="s">
        <v>38</v>
      </c>
      <c r="G305" s="207" t="s">
        <v>32</v>
      </c>
    </row>
    <row r="306" spans="1:7" ht="13.5" thickBot="1" x14ac:dyDescent="0.25">
      <c r="A306" s="330">
        <v>2</v>
      </c>
      <c r="B306" s="330" t="s">
        <v>280</v>
      </c>
      <c r="C306" s="330">
        <v>12</v>
      </c>
      <c r="D306" s="331">
        <v>177000</v>
      </c>
      <c r="E306" s="331">
        <v>11699700</v>
      </c>
      <c r="F306" s="123">
        <v>1</v>
      </c>
      <c r="G306" s="210">
        <f t="shared" ref="G306" si="20">F306*E306</f>
        <v>11699700</v>
      </c>
    </row>
    <row r="307" spans="1:7" ht="13.5" thickBot="1" x14ac:dyDescent="0.25">
      <c r="A307" s="330">
        <v>3</v>
      </c>
      <c r="B307" s="330" t="s">
        <v>281</v>
      </c>
      <c r="C307" s="330">
        <v>18</v>
      </c>
      <c r="D307" s="331">
        <v>170000</v>
      </c>
      <c r="E307" s="331">
        <v>16966000</v>
      </c>
      <c r="F307" s="123">
        <v>1</v>
      </c>
      <c r="G307" s="210">
        <f t="shared" ref="G307" si="21">F307*E307</f>
        <v>16966000</v>
      </c>
    </row>
    <row r="308" spans="1:7" x14ac:dyDescent="0.2">
      <c r="A308" s="258" t="s">
        <v>400</v>
      </c>
      <c r="B308" s="258"/>
      <c r="C308" s="258"/>
      <c r="D308" s="258"/>
      <c r="E308" s="258"/>
      <c r="F308" s="258"/>
      <c r="G308" s="258"/>
    </row>
    <row r="309" spans="1:7" x14ac:dyDescent="0.2">
      <c r="A309" s="207" t="s">
        <v>6</v>
      </c>
      <c r="B309" s="207" t="s">
        <v>7</v>
      </c>
      <c r="C309" s="207" t="s">
        <v>10</v>
      </c>
      <c r="D309" s="208" t="s">
        <v>11</v>
      </c>
      <c r="E309" s="208" t="s">
        <v>12</v>
      </c>
      <c r="F309" s="207" t="s">
        <v>38</v>
      </c>
      <c r="G309" s="207" t="s">
        <v>32</v>
      </c>
    </row>
    <row r="310" spans="1:7" x14ac:dyDescent="0.2">
      <c r="A310" s="184">
        <v>2</v>
      </c>
      <c r="B310" s="184" t="s">
        <v>401</v>
      </c>
      <c r="C310" s="184" t="s">
        <v>237</v>
      </c>
      <c r="D310" s="211">
        <v>150000</v>
      </c>
      <c r="E310" s="211">
        <v>6210000</v>
      </c>
      <c r="F310" s="123">
        <v>6</v>
      </c>
      <c r="G310" s="123">
        <f t="shared" ref="G310:G323" si="22">F310*E310</f>
        <v>37260000</v>
      </c>
    </row>
    <row r="311" spans="1:7" x14ac:dyDescent="0.2">
      <c r="A311" s="184">
        <v>1</v>
      </c>
      <c r="B311" s="184" t="s">
        <v>402</v>
      </c>
      <c r="C311" s="184">
        <v>2</v>
      </c>
      <c r="D311" s="211">
        <v>150000</v>
      </c>
      <c r="E311" s="211">
        <v>6270000</v>
      </c>
      <c r="F311" s="123">
        <v>1</v>
      </c>
      <c r="G311" s="123">
        <f t="shared" si="22"/>
        <v>6270000</v>
      </c>
    </row>
    <row r="312" spans="1:7" x14ac:dyDescent="0.2">
      <c r="A312" s="184">
        <v>2</v>
      </c>
      <c r="B312" s="184" t="s">
        <v>403</v>
      </c>
      <c r="C312" s="184" t="s">
        <v>237</v>
      </c>
      <c r="D312" s="211">
        <v>140000</v>
      </c>
      <c r="E312" s="211">
        <v>6664000</v>
      </c>
      <c r="F312" s="123">
        <v>6</v>
      </c>
      <c r="G312" s="123">
        <f t="shared" si="22"/>
        <v>39984000</v>
      </c>
    </row>
    <row r="313" spans="1:7" x14ac:dyDescent="0.2">
      <c r="A313" s="184">
        <v>2</v>
      </c>
      <c r="B313" s="184" t="s">
        <v>404</v>
      </c>
      <c r="C313" s="184">
        <v>2</v>
      </c>
      <c r="D313" s="211">
        <v>140000</v>
      </c>
      <c r="E313" s="211">
        <v>6692000</v>
      </c>
      <c r="F313" s="123">
        <v>1</v>
      </c>
      <c r="G313" s="123">
        <f t="shared" si="22"/>
        <v>6692000</v>
      </c>
    </row>
    <row r="314" spans="1:7" x14ac:dyDescent="0.2">
      <c r="A314" s="184">
        <v>2</v>
      </c>
      <c r="B314" s="184" t="s">
        <v>405</v>
      </c>
      <c r="C314" s="184" t="s">
        <v>237</v>
      </c>
      <c r="D314" s="211">
        <v>145000</v>
      </c>
      <c r="E314" s="211">
        <v>7090500</v>
      </c>
      <c r="F314" s="123">
        <v>6</v>
      </c>
      <c r="G314" s="123">
        <f t="shared" si="22"/>
        <v>42543000</v>
      </c>
    </row>
    <row r="315" spans="1:7" x14ac:dyDescent="0.2">
      <c r="A315" s="184">
        <v>2</v>
      </c>
      <c r="B315" s="184" t="s">
        <v>406</v>
      </c>
      <c r="C315" s="184">
        <v>2</v>
      </c>
      <c r="D315" s="211">
        <v>145000</v>
      </c>
      <c r="E315" s="211">
        <v>7163000</v>
      </c>
      <c r="F315" s="123">
        <v>1</v>
      </c>
      <c r="G315" s="123">
        <f t="shared" si="22"/>
        <v>7163000</v>
      </c>
    </row>
    <row r="316" spans="1:7" x14ac:dyDescent="0.2">
      <c r="A316" s="184">
        <v>3</v>
      </c>
      <c r="B316" s="184" t="s">
        <v>407</v>
      </c>
      <c r="C316" s="184" t="s">
        <v>319</v>
      </c>
      <c r="D316" s="211">
        <v>130000</v>
      </c>
      <c r="E316" s="211">
        <v>7371000</v>
      </c>
      <c r="F316" s="123">
        <v>5</v>
      </c>
      <c r="G316" s="210">
        <f t="shared" si="22"/>
        <v>36855000</v>
      </c>
    </row>
    <row r="317" spans="1:7" x14ac:dyDescent="0.2">
      <c r="A317" s="184">
        <v>3</v>
      </c>
      <c r="B317" s="184" t="s">
        <v>408</v>
      </c>
      <c r="C317" s="184" t="s">
        <v>237</v>
      </c>
      <c r="D317" s="211">
        <v>130000</v>
      </c>
      <c r="E317" s="211">
        <v>7397000</v>
      </c>
      <c r="F317" s="123">
        <v>6</v>
      </c>
      <c r="G317" s="210">
        <f t="shared" si="22"/>
        <v>44382000</v>
      </c>
    </row>
    <row r="318" spans="1:7" x14ac:dyDescent="0.2">
      <c r="A318" s="184">
        <v>3</v>
      </c>
      <c r="B318" s="184" t="s">
        <v>247</v>
      </c>
      <c r="C318" s="184">
        <v>2</v>
      </c>
      <c r="D318" s="211">
        <v>130000</v>
      </c>
      <c r="E318" s="211">
        <v>7423000</v>
      </c>
      <c r="F318" s="123">
        <v>1</v>
      </c>
      <c r="G318" s="210">
        <f t="shared" si="22"/>
        <v>7423000</v>
      </c>
    </row>
    <row r="319" spans="1:7" x14ac:dyDescent="0.2">
      <c r="A319" s="184">
        <v>2</v>
      </c>
      <c r="B319" s="184" t="s">
        <v>409</v>
      </c>
      <c r="C319" s="184">
        <v>2</v>
      </c>
      <c r="D319" s="211">
        <v>130000</v>
      </c>
      <c r="E319" s="211">
        <v>7449000</v>
      </c>
      <c r="F319" s="123">
        <v>1</v>
      </c>
      <c r="G319" s="210">
        <f t="shared" si="22"/>
        <v>7449000</v>
      </c>
    </row>
    <row r="320" spans="1:7" x14ac:dyDescent="0.2">
      <c r="A320" s="184">
        <v>3</v>
      </c>
      <c r="B320" s="184" t="s">
        <v>410</v>
      </c>
      <c r="C320" s="184" t="s">
        <v>411</v>
      </c>
      <c r="D320" s="211">
        <v>128000</v>
      </c>
      <c r="E320" s="211">
        <v>7718400</v>
      </c>
      <c r="F320" s="123">
        <v>4</v>
      </c>
      <c r="G320" s="210">
        <f t="shared" si="22"/>
        <v>30873600</v>
      </c>
    </row>
    <row r="321" spans="1:7" x14ac:dyDescent="0.2">
      <c r="A321" s="184">
        <v>3</v>
      </c>
      <c r="B321" s="184" t="s">
        <v>412</v>
      </c>
      <c r="C321" s="184">
        <v>2</v>
      </c>
      <c r="D321" s="211">
        <v>128000</v>
      </c>
      <c r="E321" s="211">
        <v>7769600</v>
      </c>
      <c r="F321" s="123">
        <v>1</v>
      </c>
      <c r="G321" s="210">
        <f t="shared" si="22"/>
        <v>7769600</v>
      </c>
    </row>
    <row r="322" spans="1:7" x14ac:dyDescent="0.2">
      <c r="A322" s="184">
        <v>3</v>
      </c>
      <c r="B322" s="184" t="s">
        <v>413</v>
      </c>
      <c r="C322" s="184" t="s">
        <v>237</v>
      </c>
      <c r="D322" s="211">
        <v>125000</v>
      </c>
      <c r="E322" s="211">
        <v>8562500</v>
      </c>
      <c r="F322" s="123">
        <v>6</v>
      </c>
      <c r="G322" s="210">
        <f t="shared" si="22"/>
        <v>51375000</v>
      </c>
    </row>
    <row r="323" spans="1:7" x14ac:dyDescent="0.2">
      <c r="A323" s="184">
        <v>3</v>
      </c>
      <c r="B323" s="184" t="s">
        <v>414</v>
      </c>
      <c r="C323" s="184">
        <v>2</v>
      </c>
      <c r="D323" s="211">
        <v>125000</v>
      </c>
      <c r="E323" s="211">
        <v>8637500</v>
      </c>
      <c r="F323" s="123">
        <v>1</v>
      </c>
      <c r="G323" s="210">
        <f t="shared" si="22"/>
        <v>8637500</v>
      </c>
    </row>
  </sheetData>
  <autoFilter ref="A3:G323" xr:uid="{D4689E86-1771-4212-B15E-B6B3B14E1745}">
    <filterColumn colId="0">
      <iconFilter iconSet="3Arrows"/>
    </filterColumn>
  </autoFilter>
  <mergeCells count="22">
    <mergeCell ref="A308:G308"/>
    <mergeCell ref="A1:G1"/>
    <mergeCell ref="A2:G2"/>
    <mergeCell ref="A5:G5"/>
    <mergeCell ref="A22:G22"/>
    <mergeCell ref="A289:G289"/>
    <mergeCell ref="A9:G9"/>
    <mergeCell ref="A11:G11"/>
    <mergeCell ref="A16:G16"/>
    <mergeCell ref="A27:G27"/>
    <mergeCell ref="A304:G304"/>
    <mergeCell ref="A31:G31"/>
    <mergeCell ref="A141:G141"/>
    <mergeCell ref="A150:G150"/>
    <mergeCell ref="A182:G182"/>
    <mergeCell ref="A232:G232"/>
    <mergeCell ref="A274:G274"/>
    <mergeCell ref="A199:G199"/>
    <mergeCell ref="A214:G214"/>
    <mergeCell ref="A252:G252"/>
    <mergeCell ref="A296:G296"/>
    <mergeCell ref="A300:G30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364"/>
  <sheetViews>
    <sheetView zoomScaleNormal="100" workbookViewId="0">
      <selection activeCell="E352" sqref="E352"/>
    </sheetView>
  </sheetViews>
  <sheetFormatPr defaultColWidth="8.85546875" defaultRowHeight="12.75" x14ac:dyDescent="0.2"/>
  <cols>
    <col min="1" max="1" width="10.7109375" style="335" customWidth="1"/>
    <col min="2" max="2" width="11.42578125" style="335" customWidth="1"/>
    <col min="3" max="3" width="13" style="335" customWidth="1"/>
    <col min="4" max="4" width="12.85546875" style="370" customWidth="1"/>
    <col min="5" max="5" width="12" style="335" customWidth="1"/>
    <col min="6" max="6" width="15.42578125" style="335" customWidth="1"/>
    <col min="7" max="7" width="9.7109375" style="195" customWidth="1"/>
    <col min="8" max="8" width="14.7109375" style="84" customWidth="1"/>
    <col min="9" max="9" width="17.140625" style="7" hidden="1" customWidth="1"/>
    <col min="10" max="11" width="10" bestFit="1" customWidth="1"/>
  </cols>
  <sheetData>
    <row r="1" spans="1:9" ht="18" x14ac:dyDescent="0.25">
      <c r="A1" s="371" t="s">
        <v>0</v>
      </c>
      <c r="B1" s="372"/>
      <c r="C1" s="372"/>
      <c r="D1" s="372"/>
      <c r="E1" s="372"/>
      <c r="F1" s="373"/>
      <c r="G1" s="86"/>
      <c r="H1" s="83"/>
    </row>
    <row r="2" spans="1:9" ht="12.75" customHeight="1" x14ac:dyDescent="0.2">
      <c r="A2" s="268" t="s">
        <v>63</v>
      </c>
      <c r="B2" s="269"/>
      <c r="C2" s="269"/>
      <c r="D2" s="269"/>
      <c r="E2" s="269"/>
      <c r="F2" s="270"/>
      <c r="G2" s="336"/>
      <c r="H2" s="337"/>
      <c r="I2" s="9"/>
    </row>
    <row r="3" spans="1:9" ht="12.75" customHeight="1" x14ac:dyDescent="0.2">
      <c r="A3" s="166" t="s">
        <v>6</v>
      </c>
      <c r="B3" s="166" t="s">
        <v>7</v>
      </c>
      <c r="C3" s="173" t="s">
        <v>8</v>
      </c>
      <c r="D3" s="173" t="s">
        <v>11</v>
      </c>
      <c r="E3" s="166" t="s">
        <v>10</v>
      </c>
      <c r="F3" s="338" t="s">
        <v>9</v>
      </c>
      <c r="G3" s="339" t="s">
        <v>31</v>
      </c>
      <c r="H3" s="166" t="s">
        <v>32</v>
      </c>
      <c r="I3" s="9"/>
    </row>
    <row r="4" spans="1:9" ht="12.75" customHeight="1" x14ac:dyDescent="0.2">
      <c r="A4" s="166">
        <v>1</v>
      </c>
      <c r="B4" s="166">
        <v>34</v>
      </c>
      <c r="C4" s="173">
        <v>7965952</v>
      </c>
      <c r="D4" s="340">
        <v>234292.70588235295</v>
      </c>
      <c r="E4" s="166">
        <v>8</v>
      </c>
      <c r="F4" s="338" t="s">
        <v>74</v>
      </c>
      <c r="G4" s="336">
        <v>1</v>
      </c>
      <c r="H4" s="173">
        <v>7965952</v>
      </c>
      <c r="I4" s="9"/>
    </row>
    <row r="5" spans="1:9" ht="12.75" customHeight="1" x14ac:dyDescent="0.2">
      <c r="A5" s="166">
        <v>1</v>
      </c>
      <c r="B5" s="166">
        <v>46</v>
      </c>
      <c r="C5" s="173">
        <v>10161575</v>
      </c>
      <c r="D5" s="340">
        <v>220903.80434782608</v>
      </c>
      <c r="E5" s="166">
        <v>6</v>
      </c>
      <c r="F5" s="338" t="s">
        <v>45</v>
      </c>
      <c r="G5" s="336">
        <v>1</v>
      </c>
      <c r="H5" s="173">
        <v>10161575</v>
      </c>
      <c r="I5" s="9"/>
    </row>
    <row r="6" spans="1:9" ht="12.75" customHeight="1" x14ac:dyDescent="0.2">
      <c r="A6" s="166">
        <v>2</v>
      </c>
      <c r="B6" s="166">
        <v>48</v>
      </c>
      <c r="C6" s="173">
        <v>10690374</v>
      </c>
      <c r="D6" s="340">
        <v>222716.125</v>
      </c>
      <c r="E6" s="166">
        <v>6</v>
      </c>
      <c r="F6" s="338" t="s">
        <v>74</v>
      </c>
      <c r="G6" s="336">
        <v>1</v>
      </c>
      <c r="H6" s="173">
        <v>10690374</v>
      </c>
      <c r="I6" s="9"/>
    </row>
    <row r="7" spans="1:9" s="20" customFormat="1" ht="12.75" customHeight="1" x14ac:dyDescent="0.2">
      <c r="A7" s="166">
        <v>2</v>
      </c>
      <c r="B7" s="173">
        <v>67</v>
      </c>
      <c r="C7" s="173">
        <v>13263672</v>
      </c>
      <c r="D7" s="340">
        <v>197965.25373134328</v>
      </c>
      <c r="E7" s="166">
        <v>4</v>
      </c>
      <c r="F7" s="338" t="s">
        <v>41</v>
      </c>
      <c r="G7" s="336">
        <v>1</v>
      </c>
      <c r="H7" s="173">
        <v>13263672</v>
      </c>
      <c r="I7" s="9"/>
    </row>
    <row r="8" spans="1:9" s="20" customFormat="1" ht="12.75" customHeight="1" x14ac:dyDescent="0.2">
      <c r="A8" s="166">
        <v>2</v>
      </c>
      <c r="B8" s="173">
        <v>67</v>
      </c>
      <c r="C8" s="173">
        <v>13189686</v>
      </c>
      <c r="D8" s="340">
        <v>196860.98507462686</v>
      </c>
      <c r="E8" s="166">
        <v>3</v>
      </c>
      <c r="F8" s="338" t="s">
        <v>41</v>
      </c>
      <c r="G8" s="336">
        <v>1</v>
      </c>
      <c r="H8" s="173">
        <v>13189686</v>
      </c>
      <c r="I8" s="9"/>
    </row>
    <row r="9" spans="1:9" s="20" customFormat="1" ht="12.75" customHeight="1" x14ac:dyDescent="0.2">
      <c r="A9" s="277" t="s">
        <v>78</v>
      </c>
      <c r="B9" s="277"/>
      <c r="C9" s="277"/>
      <c r="D9" s="277"/>
      <c r="E9" s="277"/>
      <c r="F9" s="278"/>
      <c r="G9" s="336"/>
      <c r="H9" s="166"/>
      <c r="I9" s="9"/>
    </row>
    <row r="10" spans="1:9" s="20" customFormat="1" ht="12.75" customHeight="1" x14ac:dyDescent="0.2">
      <c r="A10" s="166" t="s">
        <v>6</v>
      </c>
      <c r="B10" s="166" t="s">
        <v>7</v>
      </c>
      <c r="C10" s="173" t="s">
        <v>8</v>
      </c>
      <c r="D10" s="173" t="s">
        <v>11</v>
      </c>
      <c r="E10" s="166" t="s">
        <v>10</v>
      </c>
      <c r="F10" s="338" t="s">
        <v>9</v>
      </c>
      <c r="G10" s="336" t="s">
        <v>31</v>
      </c>
      <c r="H10" s="166" t="s">
        <v>32</v>
      </c>
      <c r="I10" s="9"/>
    </row>
    <row r="11" spans="1:9" s="20" customFormat="1" ht="12.75" customHeight="1" x14ac:dyDescent="0.2">
      <c r="A11" s="166">
        <v>1</v>
      </c>
      <c r="B11" s="166">
        <v>32</v>
      </c>
      <c r="C11" s="173">
        <v>6915111</v>
      </c>
      <c r="D11" s="173">
        <v>216097.21875</v>
      </c>
      <c r="E11" s="166">
        <v>4</v>
      </c>
      <c r="F11" s="338" t="s">
        <v>41</v>
      </c>
      <c r="G11" s="336">
        <v>1</v>
      </c>
      <c r="H11" s="173">
        <v>6915111</v>
      </c>
      <c r="I11" s="9"/>
    </row>
    <row r="12" spans="1:9" s="20" customFormat="1" ht="12.75" customHeight="1" x14ac:dyDescent="0.2">
      <c r="A12" s="166">
        <v>1</v>
      </c>
      <c r="B12" s="166">
        <v>37</v>
      </c>
      <c r="C12" s="173">
        <v>8204805</v>
      </c>
      <c r="D12" s="173">
        <v>188061</v>
      </c>
      <c r="E12" s="166">
        <v>6</v>
      </c>
      <c r="F12" s="338" t="s">
        <v>41</v>
      </c>
      <c r="G12" s="336">
        <v>1</v>
      </c>
      <c r="H12" s="173">
        <v>8204805</v>
      </c>
      <c r="I12" s="9"/>
    </row>
    <row r="13" spans="1:9" s="20" customFormat="1" ht="12.75" customHeight="1" x14ac:dyDescent="0.2">
      <c r="A13" s="166">
        <v>1</v>
      </c>
      <c r="B13" s="166">
        <v>41</v>
      </c>
      <c r="C13" s="173">
        <v>8588374</v>
      </c>
      <c r="D13" s="173">
        <v>209472.53658536586</v>
      </c>
      <c r="E13" s="166" t="s">
        <v>325</v>
      </c>
      <c r="F13" s="338" t="s">
        <v>41</v>
      </c>
      <c r="G13" s="336">
        <v>2</v>
      </c>
      <c r="H13" s="173">
        <v>17176748</v>
      </c>
      <c r="I13" s="9"/>
    </row>
    <row r="14" spans="1:9" ht="12.75" customHeight="1" x14ac:dyDescent="0.2">
      <c r="A14" s="166">
        <v>1</v>
      </c>
      <c r="B14" s="166">
        <v>42</v>
      </c>
      <c r="C14" s="173">
        <v>8563920</v>
      </c>
      <c r="D14" s="173">
        <v>203902.85714285713</v>
      </c>
      <c r="E14" s="166">
        <v>6</v>
      </c>
      <c r="F14" s="338" t="s">
        <v>41</v>
      </c>
      <c r="G14" s="336">
        <v>1</v>
      </c>
      <c r="H14" s="173">
        <v>8563920</v>
      </c>
      <c r="I14" s="9"/>
    </row>
    <row r="15" spans="1:9" ht="12.75" customHeight="1" x14ac:dyDescent="0.2">
      <c r="A15" s="166">
        <v>1</v>
      </c>
      <c r="B15" s="166">
        <v>42</v>
      </c>
      <c r="C15" s="173">
        <v>8505148</v>
      </c>
      <c r="D15" s="173">
        <v>202503.52380952382</v>
      </c>
      <c r="E15" s="166">
        <v>4</v>
      </c>
      <c r="F15" s="338" t="s">
        <v>41</v>
      </c>
      <c r="G15" s="336">
        <v>1</v>
      </c>
      <c r="H15" s="173">
        <v>8505148</v>
      </c>
      <c r="I15" s="9"/>
    </row>
    <row r="16" spans="1:9" ht="12.75" customHeight="1" x14ac:dyDescent="0.2">
      <c r="A16" s="166">
        <v>1</v>
      </c>
      <c r="B16" s="166">
        <v>43</v>
      </c>
      <c r="C16" s="173">
        <v>7583720</v>
      </c>
      <c r="D16" s="173">
        <v>176365.58139534883</v>
      </c>
      <c r="E16" s="166">
        <v>4</v>
      </c>
      <c r="F16" s="338" t="s">
        <v>41</v>
      </c>
      <c r="G16" s="336">
        <v>1</v>
      </c>
      <c r="H16" s="173">
        <v>7583720</v>
      </c>
      <c r="I16" s="9"/>
    </row>
    <row r="17" spans="1:10" ht="12.75" customHeight="1" x14ac:dyDescent="0.2">
      <c r="A17" s="166">
        <v>1</v>
      </c>
      <c r="B17" s="166">
        <v>43</v>
      </c>
      <c r="C17" s="173">
        <v>8734012</v>
      </c>
      <c r="D17" s="173">
        <v>203116.55813953487</v>
      </c>
      <c r="E17" s="166">
        <v>5</v>
      </c>
      <c r="F17" s="338" t="s">
        <v>41</v>
      </c>
      <c r="G17" s="336">
        <v>1</v>
      </c>
      <c r="H17" s="173">
        <v>8734012</v>
      </c>
      <c r="I17" s="9"/>
    </row>
    <row r="18" spans="1:10" ht="12.75" customHeight="1" x14ac:dyDescent="0.2">
      <c r="A18" s="166">
        <v>1</v>
      </c>
      <c r="B18" s="166">
        <v>43</v>
      </c>
      <c r="C18" s="173">
        <v>8776742</v>
      </c>
      <c r="D18" s="173">
        <v>204110.27906976745</v>
      </c>
      <c r="E18" s="166">
        <v>6</v>
      </c>
      <c r="F18" s="338" t="s">
        <v>41</v>
      </c>
      <c r="G18" s="336">
        <v>1</v>
      </c>
      <c r="H18" s="173">
        <v>8776742</v>
      </c>
      <c r="I18" s="9"/>
    </row>
    <row r="19" spans="1:10" ht="12.75" customHeight="1" x14ac:dyDescent="0.2">
      <c r="A19" s="166">
        <v>1</v>
      </c>
      <c r="B19" s="166">
        <v>43</v>
      </c>
      <c r="C19" s="173">
        <v>8819472</v>
      </c>
      <c r="D19" s="173">
        <v>205104</v>
      </c>
      <c r="E19" s="166">
        <v>7</v>
      </c>
      <c r="F19" s="338" t="s">
        <v>41</v>
      </c>
      <c r="G19" s="336">
        <v>1</v>
      </c>
      <c r="H19" s="173">
        <v>8819472</v>
      </c>
      <c r="I19" s="9"/>
    </row>
    <row r="20" spans="1:10" x14ac:dyDescent="0.2">
      <c r="A20" s="166">
        <v>1</v>
      </c>
      <c r="B20" s="166">
        <v>45</v>
      </c>
      <c r="C20" s="173">
        <v>7921916</v>
      </c>
      <c r="D20" s="173">
        <v>176042.57777777777</v>
      </c>
      <c r="E20" s="166">
        <v>3</v>
      </c>
      <c r="F20" s="338" t="s">
        <v>41</v>
      </c>
      <c r="G20" s="336">
        <v>1</v>
      </c>
      <c r="H20" s="173">
        <v>7921916</v>
      </c>
    </row>
    <row r="21" spans="1:10" x14ac:dyDescent="0.2">
      <c r="A21" s="166">
        <v>1</v>
      </c>
      <c r="B21" s="166">
        <v>45</v>
      </c>
      <c r="C21" s="173">
        <v>9163592</v>
      </c>
      <c r="D21" s="173">
        <v>203635.37777777779</v>
      </c>
      <c r="E21" s="166">
        <v>4</v>
      </c>
      <c r="F21" s="338" t="s">
        <v>41</v>
      </c>
      <c r="G21" s="336">
        <v>1</v>
      </c>
      <c r="H21" s="173">
        <v>9163592</v>
      </c>
    </row>
    <row r="22" spans="1:10" x14ac:dyDescent="0.2">
      <c r="A22" s="166">
        <v>1</v>
      </c>
      <c r="B22" s="166">
        <v>45</v>
      </c>
      <c r="C22" s="173">
        <v>9389790</v>
      </c>
      <c r="D22" s="173">
        <v>208662</v>
      </c>
      <c r="E22" s="166">
        <v>4</v>
      </c>
      <c r="F22" s="338" t="s">
        <v>41</v>
      </c>
      <c r="G22" s="336">
        <v>1</v>
      </c>
      <c r="H22" s="173">
        <v>9389790</v>
      </c>
    </row>
    <row r="23" spans="1:10" x14ac:dyDescent="0.2">
      <c r="A23" s="166">
        <v>1</v>
      </c>
      <c r="B23" s="166">
        <v>45</v>
      </c>
      <c r="C23" s="173">
        <v>9225990</v>
      </c>
      <c r="D23" s="173">
        <v>205022</v>
      </c>
      <c r="E23" s="166">
        <v>7</v>
      </c>
      <c r="F23" s="338" t="s">
        <v>41</v>
      </c>
      <c r="G23" s="336">
        <v>1</v>
      </c>
      <c r="H23" s="173">
        <v>9225990</v>
      </c>
    </row>
    <row r="24" spans="1:10" x14ac:dyDescent="0.2">
      <c r="A24" s="166">
        <v>1</v>
      </c>
      <c r="B24" s="166">
        <v>45</v>
      </c>
      <c r="C24" s="173">
        <v>8255862</v>
      </c>
      <c r="D24" s="173">
        <v>183463.6</v>
      </c>
      <c r="E24" s="166">
        <v>6</v>
      </c>
      <c r="F24" s="338" t="s">
        <v>41</v>
      </c>
      <c r="G24" s="336">
        <v>1</v>
      </c>
      <c r="H24" s="173">
        <v>8255862</v>
      </c>
      <c r="I24" s="1"/>
      <c r="J24" s="58"/>
    </row>
    <row r="25" spans="1:10" x14ac:dyDescent="0.2">
      <c r="A25" s="166">
        <v>1</v>
      </c>
      <c r="B25" s="166">
        <v>45</v>
      </c>
      <c r="C25" s="173">
        <v>9181420</v>
      </c>
      <c r="D25" s="173">
        <v>204031.55555555556</v>
      </c>
      <c r="E25" s="166">
        <v>5</v>
      </c>
      <c r="F25" s="338" t="s">
        <v>41</v>
      </c>
      <c r="G25" s="336">
        <v>1</v>
      </c>
      <c r="H25" s="173">
        <v>9181420</v>
      </c>
      <c r="J25" s="58"/>
    </row>
    <row r="26" spans="1:10" x14ac:dyDescent="0.2">
      <c r="A26" s="166">
        <v>1</v>
      </c>
      <c r="B26" s="166">
        <v>45</v>
      </c>
      <c r="C26" s="173">
        <v>9203705</v>
      </c>
      <c r="D26" s="173">
        <v>204526.77777777778</v>
      </c>
      <c r="E26" s="166">
        <v>6</v>
      </c>
      <c r="F26" s="338" t="s">
        <v>41</v>
      </c>
      <c r="G26" s="336">
        <v>1</v>
      </c>
      <c r="H26" s="173">
        <v>9203705</v>
      </c>
      <c r="J26" s="58"/>
    </row>
    <row r="27" spans="1:10" x14ac:dyDescent="0.2">
      <c r="A27" s="166">
        <v>1</v>
      </c>
      <c r="B27" s="166">
        <v>48</v>
      </c>
      <c r="C27" s="173">
        <v>8503362</v>
      </c>
      <c r="D27" s="173">
        <v>177153.375</v>
      </c>
      <c r="E27" s="166">
        <v>4</v>
      </c>
      <c r="F27" s="338" t="s">
        <v>41</v>
      </c>
      <c r="G27" s="336">
        <v>1</v>
      </c>
      <c r="H27" s="173">
        <v>8503362</v>
      </c>
      <c r="J27" s="58"/>
    </row>
    <row r="28" spans="1:10" x14ac:dyDescent="0.2">
      <c r="A28" s="166">
        <v>1</v>
      </c>
      <c r="B28" s="166">
        <v>48</v>
      </c>
      <c r="C28" s="173">
        <v>9778820</v>
      </c>
      <c r="D28" s="173">
        <v>203725.41666666666</v>
      </c>
      <c r="E28" s="166">
        <v>5</v>
      </c>
      <c r="F28" s="338" t="s">
        <v>41</v>
      </c>
      <c r="G28" s="336">
        <v>1</v>
      </c>
      <c r="H28" s="173">
        <v>9778820</v>
      </c>
      <c r="J28" s="58"/>
    </row>
    <row r="29" spans="1:10" x14ac:dyDescent="0.2">
      <c r="A29" s="166">
        <v>1</v>
      </c>
      <c r="B29" s="166">
        <v>48</v>
      </c>
      <c r="C29" s="173">
        <v>9715887</v>
      </c>
      <c r="D29" s="173">
        <v>202414.3125</v>
      </c>
      <c r="E29" s="166">
        <v>3</v>
      </c>
      <c r="F29" s="338" t="s">
        <v>41</v>
      </c>
      <c r="G29" s="336">
        <v>1</v>
      </c>
      <c r="H29" s="173">
        <v>9715887</v>
      </c>
      <c r="J29" s="58"/>
    </row>
    <row r="30" spans="1:10" s="20" customFormat="1" ht="15" customHeight="1" x14ac:dyDescent="0.2">
      <c r="A30" s="166">
        <v>1</v>
      </c>
      <c r="B30" s="166">
        <v>48</v>
      </c>
      <c r="C30" s="173">
        <v>9827230</v>
      </c>
      <c r="D30" s="173">
        <v>204733.95833333334</v>
      </c>
      <c r="E30" s="166">
        <v>6</v>
      </c>
      <c r="F30" s="338" t="s">
        <v>41</v>
      </c>
      <c r="G30" s="336">
        <v>1</v>
      </c>
      <c r="H30" s="173">
        <v>9827230</v>
      </c>
      <c r="I30" s="7"/>
      <c r="J30" s="57"/>
    </row>
    <row r="31" spans="1:10" x14ac:dyDescent="0.2">
      <c r="A31" s="166">
        <v>2</v>
      </c>
      <c r="B31" s="166">
        <v>55</v>
      </c>
      <c r="C31" s="173">
        <v>9103009</v>
      </c>
      <c r="D31" s="173">
        <v>165509.25454545455</v>
      </c>
      <c r="E31" s="166">
        <v>1</v>
      </c>
      <c r="F31" s="338" t="s">
        <v>41</v>
      </c>
      <c r="G31" s="336">
        <v>1</v>
      </c>
      <c r="H31" s="173">
        <v>9103009</v>
      </c>
    </row>
    <row r="32" spans="1:10" x14ac:dyDescent="0.2">
      <c r="A32" s="166">
        <v>2</v>
      </c>
      <c r="B32" s="166">
        <v>56</v>
      </c>
      <c r="C32" s="173">
        <v>10830050</v>
      </c>
      <c r="D32" s="173">
        <v>193393.75</v>
      </c>
      <c r="E32" s="166">
        <v>4</v>
      </c>
      <c r="F32" s="338" t="s">
        <v>41</v>
      </c>
      <c r="G32" s="336">
        <v>1</v>
      </c>
      <c r="H32" s="173">
        <v>10830050</v>
      </c>
      <c r="I32" s="9"/>
    </row>
    <row r="33" spans="1:8" x14ac:dyDescent="0.2">
      <c r="A33" s="166">
        <v>2</v>
      </c>
      <c r="B33" s="166">
        <v>56</v>
      </c>
      <c r="C33" s="173">
        <v>11111350</v>
      </c>
      <c r="D33" s="173">
        <v>198416.96428571429</v>
      </c>
      <c r="E33" s="166">
        <v>5</v>
      </c>
      <c r="F33" s="338" t="s">
        <v>41</v>
      </c>
      <c r="G33" s="336">
        <v>1</v>
      </c>
      <c r="H33" s="173">
        <v>11111350</v>
      </c>
    </row>
    <row r="34" spans="1:8" x14ac:dyDescent="0.2">
      <c r="A34" s="166">
        <v>2</v>
      </c>
      <c r="B34" s="166">
        <v>62</v>
      </c>
      <c r="C34" s="173">
        <v>9664678</v>
      </c>
      <c r="D34" s="173">
        <v>155881.90322580645</v>
      </c>
      <c r="E34" s="166">
        <v>4</v>
      </c>
      <c r="F34" s="338" t="s">
        <v>41</v>
      </c>
      <c r="G34" s="336">
        <v>1</v>
      </c>
      <c r="H34" s="173">
        <v>9664678</v>
      </c>
    </row>
    <row r="35" spans="1:8" x14ac:dyDescent="0.2">
      <c r="A35" s="166">
        <v>2</v>
      </c>
      <c r="B35" s="166">
        <v>62</v>
      </c>
      <c r="C35" s="173">
        <v>12028900</v>
      </c>
      <c r="D35" s="173">
        <v>194014.51612903227</v>
      </c>
      <c r="E35" s="166">
        <v>5</v>
      </c>
      <c r="F35" s="338" t="s">
        <v>41</v>
      </c>
      <c r="G35" s="336">
        <v>1</v>
      </c>
      <c r="H35" s="173">
        <v>12028900</v>
      </c>
    </row>
    <row r="36" spans="1:8" x14ac:dyDescent="0.2">
      <c r="A36" s="166">
        <v>2</v>
      </c>
      <c r="B36" s="166">
        <v>62</v>
      </c>
      <c r="C36" s="173">
        <v>10855650</v>
      </c>
      <c r="D36" s="173">
        <v>175091.12903225806</v>
      </c>
      <c r="E36" s="166">
        <v>6</v>
      </c>
      <c r="F36" s="338" t="s">
        <v>41</v>
      </c>
      <c r="G36" s="336">
        <v>1</v>
      </c>
      <c r="H36" s="173">
        <v>10855650</v>
      </c>
    </row>
    <row r="37" spans="1:8" x14ac:dyDescent="0.2">
      <c r="A37" s="166">
        <v>2</v>
      </c>
      <c r="B37" s="166">
        <v>73</v>
      </c>
      <c r="C37" s="173">
        <v>9570361</v>
      </c>
      <c r="D37" s="173">
        <v>131100.83561643836</v>
      </c>
      <c r="E37" s="166">
        <v>2</v>
      </c>
      <c r="F37" s="338" t="s">
        <v>45</v>
      </c>
      <c r="G37" s="336">
        <v>1</v>
      </c>
      <c r="H37" s="173">
        <v>9570361</v>
      </c>
    </row>
    <row r="38" spans="1:8" x14ac:dyDescent="0.2">
      <c r="A38" s="166">
        <v>2</v>
      </c>
      <c r="B38" s="166">
        <v>73</v>
      </c>
      <c r="C38" s="173">
        <v>11509702</v>
      </c>
      <c r="D38" s="173">
        <v>157667.15068493152</v>
      </c>
      <c r="E38" s="166">
        <v>3</v>
      </c>
      <c r="F38" s="338" t="s">
        <v>41</v>
      </c>
      <c r="G38" s="336">
        <v>1</v>
      </c>
      <c r="H38" s="173">
        <v>11509702</v>
      </c>
    </row>
    <row r="39" spans="1:8" x14ac:dyDescent="0.2">
      <c r="A39" s="166">
        <v>2</v>
      </c>
      <c r="B39" s="166">
        <v>73</v>
      </c>
      <c r="C39" s="173">
        <v>11648677</v>
      </c>
      <c r="D39" s="173">
        <v>159570.91780821918</v>
      </c>
      <c r="E39" s="166">
        <v>4</v>
      </c>
      <c r="F39" s="338" t="s">
        <v>41</v>
      </c>
      <c r="G39" s="336">
        <v>1</v>
      </c>
      <c r="H39" s="173">
        <v>11648677</v>
      </c>
    </row>
    <row r="40" spans="1:8" x14ac:dyDescent="0.2">
      <c r="A40" s="166">
        <v>2</v>
      </c>
      <c r="B40" s="166">
        <v>73</v>
      </c>
      <c r="C40" s="173">
        <v>11653905</v>
      </c>
      <c r="D40" s="173">
        <v>159642.53424657535</v>
      </c>
      <c r="E40" s="166">
        <v>5</v>
      </c>
      <c r="F40" s="338" t="s">
        <v>45</v>
      </c>
      <c r="G40" s="336">
        <v>1</v>
      </c>
      <c r="H40" s="173">
        <v>11653905</v>
      </c>
    </row>
    <row r="41" spans="1:8" x14ac:dyDescent="0.2">
      <c r="A41" s="166">
        <v>2</v>
      </c>
      <c r="B41" s="166">
        <v>73</v>
      </c>
      <c r="C41" s="173">
        <v>11726515</v>
      </c>
      <c r="D41" s="173">
        <v>160637.19178082192</v>
      </c>
      <c r="E41" s="166">
        <v>6</v>
      </c>
      <c r="F41" s="338" t="s">
        <v>41</v>
      </c>
      <c r="G41" s="336">
        <v>1</v>
      </c>
      <c r="H41" s="173">
        <v>11726515</v>
      </c>
    </row>
    <row r="42" spans="1:8" x14ac:dyDescent="0.2">
      <c r="A42" s="166">
        <v>4</v>
      </c>
      <c r="B42" s="166">
        <v>95</v>
      </c>
      <c r="C42" s="173">
        <v>12140718</v>
      </c>
      <c r="D42" s="173">
        <v>123614.98947368421</v>
      </c>
      <c r="E42" s="166">
        <v>2</v>
      </c>
      <c r="F42" s="338" t="s">
        <v>45</v>
      </c>
      <c r="G42" s="336">
        <v>1</v>
      </c>
      <c r="H42" s="173">
        <v>12140718</v>
      </c>
    </row>
    <row r="43" spans="1:8" x14ac:dyDescent="0.2">
      <c r="A43" s="166">
        <v>4</v>
      </c>
      <c r="B43" s="166">
        <v>97</v>
      </c>
      <c r="C43" s="173">
        <v>14341425</v>
      </c>
      <c r="D43" s="173">
        <v>147849.74226804124</v>
      </c>
      <c r="E43" s="166">
        <v>4</v>
      </c>
      <c r="F43" s="338" t="s">
        <v>45</v>
      </c>
      <c r="G43" s="336">
        <v>1</v>
      </c>
      <c r="H43" s="173">
        <v>14341425</v>
      </c>
    </row>
    <row r="44" spans="1:8" x14ac:dyDescent="0.2">
      <c r="A44" s="166">
        <v>4</v>
      </c>
      <c r="B44" s="166">
        <v>97</v>
      </c>
      <c r="C44" s="173">
        <v>15644307</v>
      </c>
      <c r="D44" s="173">
        <v>161281.51546391752</v>
      </c>
      <c r="E44" s="166">
        <v>6</v>
      </c>
      <c r="F44" s="338" t="s">
        <v>45</v>
      </c>
      <c r="G44" s="336">
        <v>1</v>
      </c>
      <c r="H44" s="173">
        <v>15644307</v>
      </c>
    </row>
    <row r="45" spans="1:8" x14ac:dyDescent="0.2">
      <c r="A45" s="166">
        <v>3</v>
      </c>
      <c r="B45" s="166">
        <v>97</v>
      </c>
      <c r="C45" s="173">
        <v>14341425</v>
      </c>
      <c r="D45" s="173">
        <v>147849.74226804124</v>
      </c>
      <c r="E45" s="166">
        <v>5</v>
      </c>
      <c r="F45" s="338" t="s">
        <v>41</v>
      </c>
      <c r="G45" s="336">
        <v>1</v>
      </c>
      <c r="H45" s="173">
        <v>14341425</v>
      </c>
    </row>
    <row r="46" spans="1:8" x14ac:dyDescent="0.2">
      <c r="A46" s="166">
        <v>3</v>
      </c>
      <c r="B46" s="166">
        <v>97</v>
      </c>
      <c r="C46" s="173">
        <v>14312645</v>
      </c>
      <c r="D46" s="173">
        <v>123614.98947368401</v>
      </c>
      <c r="E46" s="166">
        <v>3</v>
      </c>
      <c r="F46" s="338" t="s">
        <v>41</v>
      </c>
      <c r="G46" s="336">
        <v>1</v>
      </c>
      <c r="H46" s="173">
        <v>14312645</v>
      </c>
    </row>
    <row r="47" spans="1:8" x14ac:dyDescent="0.2">
      <c r="A47" s="279" t="s">
        <v>80</v>
      </c>
      <c r="B47" s="280"/>
      <c r="C47" s="280"/>
      <c r="D47" s="280"/>
      <c r="E47" s="280"/>
      <c r="F47" s="281"/>
      <c r="G47" s="341"/>
      <c r="H47" s="342"/>
    </row>
    <row r="48" spans="1:8" x14ac:dyDescent="0.2">
      <c r="A48" s="220" t="s">
        <v>6</v>
      </c>
      <c r="B48" s="221" t="s">
        <v>7</v>
      </c>
      <c r="C48" s="221" t="s">
        <v>8</v>
      </c>
      <c r="D48" s="223" t="s">
        <v>11</v>
      </c>
      <c r="E48" s="224" t="s">
        <v>10</v>
      </c>
      <c r="F48" s="221" t="s">
        <v>9</v>
      </c>
      <c r="G48" s="225" t="s">
        <v>31</v>
      </c>
      <c r="H48" s="221" t="s">
        <v>32</v>
      </c>
    </row>
    <row r="49" spans="1:8" x14ac:dyDescent="0.2">
      <c r="A49" s="220">
        <v>1</v>
      </c>
      <c r="B49" s="221">
        <v>30</v>
      </c>
      <c r="C49" s="222">
        <v>6542550</v>
      </c>
      <c r="D49" s="223">
        <v>218085</v>
      </c>
      <c r="E49" s="224" t="s">
        <v>17</v>
      </c>
      <c r="F49" s="221" t="s">
        <v>45</v>
      </c>
      <c r="G49" s="225">
        <v>1</v>
      </c>
      <c r="H49" s="222">
        <v>6542550</v>
      </c>
    </row>
    <row r="50" spans="1:8" x14ac:dyDescent="0.2">
      <c r="A50" s="167">
        <v>1</v>
      </c>
      <c r="B50" s="167">
        <v>36</v>
      </c>
      <c r="C50" s="226">
        <v>7580368</v>
      </c>
      <c r="D50" s="227">
        <v>210565.77777777778</v>
      </c>
      <c r="E50" s="167">
        <v>7</v>
      </c>
      <c r="F50" s="228" t="s">
        <v>45</v>
      </c>
      <c r="G50" s="229">
        <v>1</v>
      </c>
      <c r="H50" s="226">
        <v>7580368</v>
      </c>
    </row>
    <row r="51" spans="1:8" x14ac:dyDescent="0.2">
      <c r="A51" s="167">
        <v>1</v>
      </c>
      <c r="B51" s="167">
        <v>36</v>
      </c>
      <c r="C51" s="226">
        <v>7414952</v>
      </c>
      <c r="D51" s="227">
        <v>205970.88888888888</v>
      </c>
      <c r="E51" s="167">
        <v>4</v>
      </c>
      <c r="F51" s="228" t="s">
        <v>45</v>
      </c>
      <c r="G51" s="229">
        <v>1</v>
      </c>
      <c r="H51" s="173">
        <v>7414952</v>
      </c>
    </row>
    <row r="52" spans="1:8" x14ac:dyDescent="0.2">
      <c r="A52" s="167">
        <v>1</v>
      </c>
      <c r="B52" s="167">
        <v>36</v>
      </c>
      <c r="C52" s="226">
        <v>7580368</v>
      </c>
      <c r="D52" s="227">
        <v>210565.77777777778</v>
      </c>
      <c r="E52" s="167">
        <v>8</v>
      </c>
      <c r="F52" s="228" t="s">
        <v>45</v>
      </c>
      <c r="G52" s="229">
        <v>1</v>
      </c>
      <c r="H52" s="226">
        <v>7580368</v>
      </c>
    </row>
    <row r="53" spans="1:8" x14ac:dyDescent="0.2">
      <c r="A53" s="167">
        <v>1</v>
      </c>
      <c r="B53" s="167">
        <v>37</v>
      </c>
      <c r="C53" s="226">
        <v>7646132</v>
      </c>
      <c r="D53" s="227">
        <v>206652.21621621621</v>
      </c>
      <c r="E53" s="343" t="s">
        <v>18</v>
      </c>
      <c r="F53" s="167" t="s">
        <v>45</v>
      </c>
      <c r="G53" s="344">
        <v>1</v>
      </c>
      <c r="H53" s="173">
        <v>7646132</v>
      </c>
    </row>
    <row r="54" spans="1:8" x14ac:dyDescent="0.2">
      <c r="A54" s="167">
        <v>1</v>
      </c>
      <c r="B54" s="167">
        <v>37</v>
      </c>
      <c r="C54" s="226">
        <v>7719972</v>
      </c>
      <c r="D54" s="227">
        <v>208647.89189189189</v>
      </c>
      <c r="E54" s="343" t="s">
        <v>17</v>
      </c>
      <c r="F54" s="167" t="s">
        <v>45</v>
      </c>
      <c r="G54" s="344">
        <v>1</v>
      </c>
      <c r="H54" s="173">
        <v>7719972</v>
      </c>
    </row>
    <row r="55" spans="1:8" x14ac:dyDescent="0.2">
      <c r="A55" s="167">
        <v>2</v>
      </c>
      <c r="B55" s="167">
        <v>46</v>
      </c>
      <c r="C55" s="226">
        <v>8862342</v>
      </c>
      <c r="D55" s="227">
        <v>192659.60869565216</v>
      </c>
      <c r="E55" s="343" t="s">
        <v>28</v>
      </c>
      <c r="F55" s="167" t="s">
        <v>45</v>
      </c>
      <c r="G55" s="344">
        <v>1</v>
      </c>
      <c r="H55" s="173">
        <v>8862342</v>
      </c>
    </row>
    <row r="56" spans="1:8" x14ac:dyDescent="0.2">
      <c r="A56" s="167">
        <v>2</v>
      </c>
      <c r="B56" s="167">
        <v>55</v>
      </c>
      <c r="C56" s="226">
        <v>10206414</v>
      </c>
      <c r="D56" s="227">
        <v>185571.16363636364</v>
      </c>
      <c r="E56" s="343" t="s">
        <v>28</v>
      </c>
      <c r="F56" s="167" t="s">
        <v>41</v>
      </c>
      <c r="G56" s="344">
        <v>1</v>
      </c>
      <c r="H56" s="173">
        <v>10206414</v>
      </c>
    </row>
    <row r="57" spans="1:8" x14ac:dyDescent="0.2">
      <c r="A57" s="167">
        <v>2</v>
      </c>
      <c r="B57" s="167">
        <v>59</v>
      </c>
      <c r="C57" s="226">
        <v>9295480</v>
      </c>
      <c r="D57" s="227">
        <v>157550.50847457626</v>
      </c>
      <c r="E57" s="167">
        <v>2</v>
      </c>
      <c r="F57" s="228" t="s">
        <v>41</v>
      </c>
      <c r="G57" s="229">
        <v>1</v>
      </c>
      <c r="H57" s="173">
        <v>9295480</v>
      </c>
    </row>
    <row r="58" spans="1:8" x14ac:dyDescent="0.2">
      <c r="A58" s="167">
        <v>2</v>
      </c>
      <c r="B58" s="167">
        <v>59</v>
      </c>
      <c r="C58" s="226">
        <v>10049679</v>
      </c>
      <c r="D58" s="227">
        <v>170333.54237288135</v>
      </c>
      <c r="E58" s="167">
        <v>1</v>
      </c>
      <c r="F58" s="228" t="s">
        <v>41</v>
      </c>
      <c r="G58" s="229">
        <v>1</v>
      </c>
      <c r="H58" s="173">
        <v>10049679</v>
      </c>
    </row>
    <row r="59" spans="1:8" x14ac:dyDescent="0.2">
      <c r="A59" s="167">
        <v>2</v>
      </c>
      <c r="B59" s="167">
        <v>59</v>
      </c>
      <c r="C59" s="226">
        <v>11889878</v>
      </c>
      <c r="D59" s="227">
        <v>201523.35593220338</v>
      </c>
      <c r="E59" s="167">
        <v>2</v>
      </c>
      <c r="F59" s="228" t="s">
        <v>41</v>
      </c>
      <c r="G59" s="229">
        <v>1</v>
      </c>
      <c r="H59" s="173">
        <v>11889878</v>
      </c>
    </row>
    <row r="60" spans="1:8" x14ac:dyDescent="0.2">
      <c r="A60" s="167">
        <v>2</v>
      </c>
      <c r="B60" s="167">
        <v>59</v>
      </c>
      <c r="C60" s="226">
        <v>11267570</v>
      </c>
      <c r="D60" s="227">
        <v>190975.7627118644</v>
      </c>
      <c r="E60" s="167">
        <v>3</v>
      </c>
      <c r="F60" s="228" t="s">
        <v>41</v>
      </c>
      <c r="G60" s="229">
        <v>1</v>
      </c>
      <c r="H60" s="173">
        <v>11267570</v>
      </c>
    </row>
    <row r="61" spans="1:8" x14ac:dyDescent="0.2">
      <c r="A61" s="167">
        <v>2</v>
      </c>
      <c r="B61" s="167">
        <v>59</v>
      </c>
      <c r="C61" s="226">
        <v>12192767</v>
      </c>
      <c r="D61" s="227">
        <v>206657.06779661018</v>
      </c>
      <c r="E61" s="167">
        <v>3</v>
      </c>
      <c r="F61" s="228" t="s">
        <v>41</v>
      </c>
      <c r="G61" s="229">
        <v>1</v>
      </c>
      <c r="H61" s="173">
        <v>12192767</v>
      </c>
    </row>
    <row r="62" spans="1:8" x14ac:dyDescent="0.2">
      <c r="A62" s="167">
        <v>2</v>
      </c>
      <c r="B62" s="167">
        <v>59</v>
      </c>
      <c r="C62" s="226">
        <v>10700712</v>
      </c>
      <c r="D62" s="227">
        <v>181368</v>
      </c>
      <c r="E62" s="167">
        <v>4</v>
      </c>
      <c r="F62" s="228" t="s">
        <v>41</v>
      </c>
      <c r="G62" s="229">
        <v>1</v>
      </c>
      <c r="H62" s="173">
        <v>10700712</v>
      </c>
    </row>
    <row r="63" spans="1:8" x14ac:dyDescent="0.2">
      <c r="A63" s="167">
        <v>2</v>
      </c>
      <c r="B63" s="167">
        <v>62</v>
      </c>
      <c r="C63" s="226">
        <v>11795256</v>
      </c>
      <c r="D63" s="227">
        <v>190246.06451612903</v>
      </c>
      <c r="E63" s="167">
        <v>5</v>
      </c>
      <c r="F63" s="228" t="s">
        <v>45</v>
      </c>
      <c r="G63" s="229">
        <v>1</v>
      </c>
      <c r="H63" s="173">
        <v>11795256</v>
      </c>
    </row>
    <row r="64" spans="1:8" x14ac:dyDescent="0.2">
      <c r="A64" s="167">
        <v>2</v>
      </c>
      <c r="B64" s="167">
        <v>66</v>
      </c>
      <c r="C64" s="226">
        <v>9736792</v>
      </c>
      <c r="D64" s="227">
        <v>147527.15151515152</v>
      </c>
      <c r="E64" s="167">
        <v>2</v>
      </c>
      <c r="F64" s="228" t="s">
        <v>45</v>
      </c>
      <c r="G64" s="229">
        <v>1</v>
      </c>
      <c r="H64" s="173">
        <v>9736792</v>
      </c>
    </row>
    <row r="65" spans="1:8" x14ac:dyDescent="0.2">
      <c r="A65" s="167">
        <v>2</v>
      </c>
      <c r="B65" s="167">
        <v>66</v>
      </c>
      <c r="C65" s="226">
        <v>10672029</v>
      </c>
      <c r="D65" s="227">
        <v>161697.40909090909</v>
      </c>
      <c r="E65" s="167">
        <v>3</v>
      </c>
      <c r="F65" s="228" t="s">
        <v>45</v>
      </c>
      <c r="G65" s="229">
        <v>1</v>
      </c>
      <c r="H65" s="173">
        <v>10672029</v>
      </c>
    </row>
    <row r="66" spans="1:8" x14ac:dyDescent="0.2">
      <c r="A66" s="167">
        <v>2</v>
      </c>
      <c r="B66" s="167">
        <v>66</v>
      </c>
      <c r="C66" s="226">
        <v>11299286</v>
      </c>
      <c r="D66" s="227">
        <v>171201.30303030304</v>
      </c>
      <c r="E66" s="167">
        <v>7</v>
      </c>
      <c r="F66" s="228" t="s">
        <v>45</v>
      </c>
      <c r="G66" s="229">
        <v>1</v>
      </c>
      <c r="H66" s="173">
        <v>11299286</v>
      </c>
    </row>
    <row r="67" spans="1:8" x14ac:dyDescent="0.2">
      <c r="A67" s="167">
        <v>2</v>
      </c>
      <c r="B67" s="167">
        <v>66</v>
      </c>
      <c r="C67" s="226">
        <v>11167746</v>
      </c>
      <c r="D67" s="227">
        <v>169208.27272727274</v>
      </c>
      <c r="E67" s="167">
        <v>6</v>
      </c>
      <c r="F67" s="228" t="s">
        <v>74</v>
      </c>
      <c r="G67" s="229">
        <v>1</v>
      </c>
      <c r="H67" s="173">
        <v>11167746</v>
      </c>
    </row>
    <row r="68" spans="1:8" x14ac:dyDescent="0.2">
      <c r="A68" s="167">
        <v>3</v>
      </c>
      <c r="B68" s="167">
        <v>68</v>
      </c>
      <c r="C68" s="226">
        <v>11544672</v>
      </c>
      <c r="D68" s="227">
        <v>169774.58823529413</v>
      </c>
      <c r="E68" s="167">
        <v>6</v>
      </c>
      <c r="F68" s="228" t="s">
        <v>45</v>
      </c>
      <c r="G68" s="229">
        <v>1</v>
      </c>
      <c r="H68" s="173">
        <v>11544672</v>
      </c>
    </row>
    <row r="69" spans="1:8" x14ac:dyDescent="0.2">
      <c r="A69" s="167">
        <v>3</v>
      </c>
      <c r="B69" s="167">
        <v>68</v>
      </c>
      <c r="C69" s="226">
        <v>11456181</v>
      </c>
      <c r="D69" s="227">
        <v>168473.25</v>
      </c>
      <c r="E69" s="167">
        <v>5</v>
      </c>
      <c r="F69" s="228" t="s">
        <v>45</v>
      </c>
      <c r="G69" s="229">
        <v>1</v>
      </c>
      <c r="H69" s="173">
        <v>11456181</v>
      </c>
    </row>
    <row r="70" spans="1:8" x14ac:dyDescent="0.2">
      <c r="A70" s="167">
        <v>3</v>
      </c>
      <c r="B70" s="167">
        <v>68</v>
      </c>
      <c r="C70" s="226">
        <v>11639970</v>
      </c>
      <c r="D70" s="227">
        <v>171176.0294117647</v>
      </c>
      <c r="E70" s="167">
        <v>7</v>
      </c>
      <c r="F70" s="228" t="s">
        <v>45</v>
      </c>
      <c r="G70" s="229">
        <v>1</v>
      </c>
      <c r="H70" s="173">
        <v>11639970</v>
      </c>
    </row>
    <row r="71" spans="1:8" x14ac:dyDescent="0.2">
      <c r="A71" s="167">
        <v>3</v>
      </c>
      <c r="B71" s="167">
        <v>71</v>
      </c>
      <c r="C71" s="226">
        <v>9455746</v>
      </c>
      <c r="D71" s="227">
        <v>133179.52112676058</v>
      </c>
      <c r="E71" s="167">
        <v>2</v>
      </c>
      <c r="F71" s="228" t="s">
        <v>45</v>
      </c>
      <c r="G71" s="229">
        <v>1</v>
      </c>
      <c r="H71" s="173">
        <v>9455746</v>
      </c>
    </row>
    <row r="72" spans="1:8" x14ac:dyDescent="0.2">
      <c r="A72" s="167">
        <v>2</v>
      </c>
      <c r="B72" s="167">
        <v>72</v>
      </c>
      <c r="C72" s="226">
        <v>11590470</v>
      </c>
      <c r="D72" s="227">
        <v>160978.75</v>
      </c>
      <c r="E72" s="167">
        <v>6</v>
      </c>
      <c r="F72" s="228" t="s">
        <v>45</v>
      </c>
      <c r="G72" s="229">
        <v>1</v>
      </c>
      <c r="H72" s="173">
        <v>11590470</v>
      </c>
    </row>
    <row r="73" spans="1:8" x14ac:dyDescent="0.2">
      <c r="A73" s="167">
        <v>2</v>
      </c>
      <c r="B73" s="167">
        <v>72</v>
      </c>
      <c r="C73" s="227">
        <v>11257660</v>
      </c>
      <c r="D73" s="227">
        <v>156356.38888888888</v>
      </c>
      <c r="E73" s="167">
        <v>4</v>
      </c>
      <c r="F73" s="228" t="s">
        <v>45</v>
      </c>
      <c r="G73" s="229">
        <v>1</v>
      </c>
      <c r="H73" s="173">
        <v>11257660</v>
      </c>
    </row>
    <row r="74" spans="1:8" x14ac:dyDescent="0.2">
      <c r="A74" s="167">
        <v>3</v>
      </c>
      <c r="B74" s="167">
        <v>79</v>
      </c>
      <c r="C74" s="226">
        <v>12924400</v>
      </c>
      <c r="D74" s="227">
        <v>163600</v>
      </c>
      <c r="E74" s="167">
        <v>5</v>
      </c>
      <c r="F74" s="228" t="s">
        <v>45</v>
      </c>
      <c r="G74" s="229">
        <v>1</v>
      </c>
      <c r="H74" s="173">
        <v>12924400</v>
      </c>
    </row>
    <row r="75" spans="1:8" x14ac:dyDescent="0.2">
      <c r="A75" s="167">
        <v>3</v>
      </c>
      <c r="B75" s="167">
        <v>84</v>
      </c>
      <c r="C75" s="226">
        <v>12314190</v>
      </c>
      <c r="D75" s="227">
        <v>146597.5</v>
      </c>
      <c r="E75" s="167">
        <v>2</v>
      </c>
      <c r="F75" s="228" t="s">
        <v>45</v>
      </c>
      <c r="G75" s="229">
        <v>1</v>
      </c>
      <c r="H75" s="166">
        <v>12314190</v>
      </c>
    </row>
    <row r="76" spans="1:8" x14ac:dyDescent="0.2">
      <c r="A76" s="84">
        <v>3</v>
      </c>
      <c r="B76" s="84">
        <v>86</v>
      </c>
      <c r="C76" s="203">
        <v>15095827</v>
      </c>
      <c r="D76" s="230">
        <v>175532.87209302327</v>
      </c>
      <c r="E76" s="84">
        <v>7</v>
      </c>
      <c r="F76" s="195" t="s">
        <v>45</v>
      </c>
      <c r="G76" s="231">
        <v>1</v>
      </c>
      <c r="H76" s="166">
        <v>15095827</v>
      </c>
    </row>
    <row r="77" spans="1:8" x14ac:dyDescent="0.2">
      <c r="A77" s="84">
        <v>3</v>
      </c>
      <c r="B77" s="84">
        <v>88</v>
      </c>
      <c r="C77" s="203">
        <v>11125637</v>
      </c>
      <c r="D77" s="230">
        <v>126427.69318181818</v>
      </c>
      <c r="E77" s="84">
        <v>2</v>
      </c>
      <c r="F77" s="195" t="s">
        <v>45</v>
      </c>
      <c r="G77" s="231">
        <v>1</v>
      </c>
      <c r="H77" s="166">
        <v>11125637</v>
      </c>
    </row>
    <row r="78" spans="1:8" x14ac:dyDescent="0.2">
      <c r="A78" s="83">
        <v>3</v>
      </c>
      <c r="B78" s="83">
        <v>90</v>
      </c>
      <c r="C78" s="87">
        <v>13510500</v>
      </c>
      <c r="D78" s="170">
        <v>150116.66666666666</v>
      </c>
      <c r="E78" s="83">
        <v>4</v>
      </c>
      <c r="F78" s="86" t="s">
        <v>45</v>
      </c>
      <c r="G78" s="172">
        <v>1</v>
      </c>
      <c r="H78" s="166">
        <v>13510500</v>
      </c>
    </row>
    <row r="79" spans="1:8" x14ac:dyDescent="0.2">
      <c r="A79" s="274" t="s">
        <v>109</v>
      </c>
      <c r="B79" s="275"/>
      <c r="C79" s="275"/>
      <c r="D79" s="275"/>
      <c r="E79" s="275"/>
      <c r="F79" s="276"/>
      <c r="G79" s="231"/>
      <c r="H79" s="345"/>
    </row>
    <row r="80" spans="1:8" x14ac:dyDescent="0.2">
      <c r="A80" s="83" t="s">
        <v>6</v>
      </c>
      <c r="B80" s="83" t="s">
        <v>7</v>
      </c>
      <c r="C80" s="83" t="s">
        <v>8</v>
      </c>
      <c r="D80" s="170" t="s">
        <v>11</v>
      </c>
      <c r="E80" s="85" t="s">
        <v>10</v>
      </c>
      <c r="F80" s="83" t="s">
        <v>9</v>
      </c>
      <c r="G80" s="339" t="s">
        <v>31</v>
      </c>
      <c r="H80" s="166" t="s">
        <v>32</v>
      </c>
    </row>
    <row r="81" spans="1:8" x14ac:dyDescent="0.2">
      <c r="A81" s="83">
        <v>1</v>
      </c>
      <c r="B81" s="83">
        <v>30</v>
      </c>
      <c r="C81" s="87">
        <v>6543460</v>
      </c>
      <c r="D81" s="170">
        <v>218115.33333333334</v>
      </c>
      <c r="E81" s="85" t="s">
        <v>17</v>
      </c>
      <c r="F81" s="83" t="s">
        <v>45</v>
      </c>
      <c r="G81" s="171">
        <v>1</v>
      </c>
      <c r="H81" s="87">
        <v>6543460</v>
      </c>
    </row>
    <row r="82" spans="1:8" x14ac:dyDescent="0.2">
      <c r="A82" s="83">
        <v>1</v>
      </c>
      <c r="B82" s="83">
        <v>30</v>
      </c>
      <c r="C82" s="87">
        <v>6601125</v>
      </c>
      <c r="D82" s="170">
        <v>220037.5</v>
      </c>
      <c r="E82" s="85" t="s">
        <v>34</v>
      </c>
      <c r="F82" s="83" t="s">
        <v>45</v>
      </c>
      <c r="G82" s="171">
        <v>1</v>
      </c>
      <c r="H82" s="87">
        <v>6601125</v>
      </c>
    </row>
    <row r="83" spans="1:8" x14ac:dyDescent="0.2">
      <c r="A83" s="83">
        <v>1</v>
      </c>
      <c r="B83" s="83">
        <v>30</v>
      </c>
      <c r="C83" s="87">
        <v>6337080</v>
      </c>
      <c r="D83" s="170">
        <v>211236</v>
      </c>
      <c r="E83" s="85" t="s">
        <v>18</v>
      </c>
      <c r="F83" s="83" t="s">
        <v>41</v>
      </c>
      <c r="G83" s="172">
        <v>1</v>
      </c>
      <c r="H83" s="222">
        <v>6337080</v>
      </c>
    </row>
    <row r="84" spans="1:8" x14ac:dyDescent="0.2">
      <c r="A84" s="83">
        <v>1</v>
      </c>
      <c r="B84" s="83">
        <v>35</v>
      </c>
      <c r="C84" s="87">
        <v>6089082</v>
      </c>
      <c r="D84" s="170">
        <v>173973.77142857143</v>
      </c>
      <c r="E84" s="85" t="s">
        <v>34</v>
      </c>
      <c r="F84" s="83" t="s">
        <v>45</v>
      </c>
      <c r="G84" s="172">
        <v>1</v>
      </c>
      <c r="H84" s="87">
        <v>6089082</v>
      </c>
    </row>
    <row r="85" spans="1:8" x14ac:dyDescent="0.2">
      <c r="A85" s="83">
        <v>1</v>
      </c>
      <c r="B85" s="83">
        <v>35</v>
      </c>
      <c r="C85" s="87">
        <v>6159762</v>
      </c>
      <c r="D85" s="170">
        <v>175993.2</v>
      </c>
      <c r="E85" s="85" t="s">
        <v>27</v>
      </c>
      <c r="F85" s="83" t="s">
        <v>45</v>
      </c>
      <c r="G85" s="172">
        <v>1</v>
      </c>
      <c r="H85" s="173">
        <v>6159762</v>
      </c>
    </row>
    <row r="86" spans="1:8" x14ac:dyDescent="0.2">
      <c r="A86" s="83">
        <v>1</v>
      </c>
      <c r="B86" s="83">
        <v>38</v>
      </c>
      <c r="C86" s="87">
        <v>6371999</v>
      </c>
      <c r="D86" s="170">
        <v>167684.18421052632</v>
      </c>
      <c r="E86" s="83">
        <v>2</v>
      </c>
      <c r="F86" s="86" t="s">
        <v>45</v>
      </c>
      <c r="G86" s="172">
        <v>1</v>
      </c>
      <c r="H86" s="173">
        <v>6371999</v>
      </c>
    </row>
    <row r="87" spans="1:8" x14ac:dyDescent="0.2">
      <c r="A87" s="83">
        <v>1</v>
      </c>
      <c r="B87" s="83">
        <v>38</v>
      </c>
      <c r="C87" s="87">
        <v>7528743</v>
      </c>
      <c r="D87" s="170">
        <v>198124.81578947368</v>
      </c>
      <c r="E87" s="83">
        <v>3</v>
      </c>
      <c r="F87" s="86" t="s">
        <v>45</v>
      </c>
      <c r="G87" s="172">
        <v>1</v>
      </c>
      <c r="H87" s="173">
        <v>7528743</v>
      </c>
    </row>
    <row r="88" spans="1:8" x14ac:dyDescent="0.2">
      <c r="A88" s="83">
        <v>1</v>
      </c>
      <c r="B88" s="83">
        <v>44</v>
      </c>
      <c r="C88" s="87">
        <v>8500800</v>
      </c>
      <c r="D88" s="170">
        <v>193200</v>
      </c>
      <c r="E88" s="83">
        <v>3</v>
      </c>
      <c r="F88" s="86" t="s">
        <v>45</v>
      </c>
      <c r="G88" s="172">
        <v>1</v>
      </c>
      <c r="H88" s="173">
        <v>8500800</v>
      </c>
    </row>
    <row r="89" spans="1:8" x14ac:dyDescent="0.2">
      <c r="A89" s="83">
        <v>1</v>
      </c>
      <c r="B89" s="83">
        <v>45</v>
      </c>
      <c r="C89" s="87">
        <v>8012350</v>
      </c>
      <c r="D89" s="170">
        <v>178052.22222222222</v>
      </c>
      <c r="E89" s="83">
        <v>2</v>
      </c>
      <c r="F89" s="86" t="s">
        <v>45</v>
      </c>
      <c r="G89" s="172">
        <v>1</v>
      </c>
      <c r="H89" s="173">
        <v>8012350</v>
      </c>
    </row>
    <row r="90" spans="1:8" x14ac:dyDescent="0.2">
      <c r="A90" s="83">
        <v>1</v>
      </c>
      <c r="B90" s="83">
        <v>45</v>
      </c>
      <c r="C90" s="87">
        <v>8300392</v>
      </c>
      <c r="D90" s="170">
        <v>184453.15555555557</v>
      </c>
      <c r="E90" s="83">
        <v>4</v>
      </c>
      <c r="F90" s="86" t="s">
        <v>45</v>
      </c>
      <c r="G90" s="172">
        <v>1</v>
      </c>
      <c r="H90" s="173">
        <v>8300392</v>
      </c>
    </row>
    <row r="91" spans="1:8" x14ac:dyDescent="0.2">
      <c r="A91" s="83">
        <v>1</v>
      </c>
      <c r="B91" s="83">
        <v>45</v>
      </c>
      <c r="C91" s="87">
        <v>8274162</v>
      </c>
      <c r="D91" s="170">
        <v>183870.26666666666</v>
      </c>
      <c r="E91" s="83">
        <v>4</v>
      </c>
      <c r="F91" s="86" t="s">
        <v>41</v>
      </c>
      <c r="G91" s="172">
        <v>1</v>
      </c>
      <c r="H91" s="173">
        <v>8274162</v>
      </c>
    </row>
    <row r="92" spans="1:8" x14ac:dyDescent="0.2">
      <c r="A92" s="83">
        <v>1</v>
      </c>
      <c r="B92" s="83">
        <v>45</v>
      </c>
      <c r="C92" s="87">
        <v>8978670</v>
      </c>
      <c r="D92" s="170">
        <v>199526</v>
      </c>
      <c r="E92" s="83">
        <v>4</v>
      </c>
      <c r="F92" s="86" t="s">
        <v>45</v>
      </c>
      <c r="G92" s="172">
        <v>1</v>
      </c>
      <c r="H92" s="173">
        <v>8978670</v>
      </c>
    </row>
    <row r="93" spans="1:8" x14ac:dyDescent="0.2">
      <c r="A93" s="83">
        <v>2</v>
      </c>
      <c r="B93" s="83">
        <v>46</v>
      </c>
      <c r="C93" s="87">
        <v>8686279</v>
      </c>
      <c r="D93" s="170">
        <v>188832.15217391305</v>
      </c>
      <c r="E93" s="83">
        <v>5</v>
      </c>
      <c r="F93" s="86" t="s">
        <v>41</v>
      </c>
      <c r="G93" s="172">
        <v>1</v>
      </c>
      <c r="H93" s="173">
        <v>8686279</v>
      </c>
    </row>
    <row r="94" spans="1:8" x14ac:dyDescent="0.2">
      <c r="A94" s="83">
        <v>2</v>
      </c>
      <c r="B94" s="83">
        <v>55</v>
      </c>
      <c r="C94" s="87">
        <v>9165660</v>
      </c>
      <c r="D94" s="170">
        <v>166648.36363636365</v>
      </c>
      <c r="E94" s="83">
        <v>5</v>
      </c>
      <c r="F94" s="86" t="s">
        <v>45</v>
      </c>
      <c r="G94" s="172">
        <v>1</v>
      </c>
      <c r="H94" s="173">
        <v>9165660</v>
      </c>
    </row>
    <row r="95" spans="1:8" x14ac:dyDescent="0.2">
      <c r="A95" s="83">
        <v>3</v>
      </c>
      <c r="B95" s="83">
        <v>67</v>
      </c>
      <c r="C95" s="87">
        <v>10112896</v>
      </c>
      <c r="D95" s="170">
        <v>150938.74626865672</v>
      </c>
      <c r="E95" s="83">
        <v>6</v>
      </c>
      <c r="F95" s="86" t="s">
        <v>45</v>
      </c>
      <c r="G95" s="172">
        <v>1</v>
      </c>
      <c r="H95" s="173">
        <v>10112896</v>
      </c>
    </row>
    <row r="96" spans="1:8" x14ac:dyDescent="0.2">
      <c r="A96" s="83">
        <v>2</v>
      </c>
      <c r="B96" s="83">
        <v>67</v>
      </c>
      <c r="C96" s="87">
        <v>10634704</v>
      </c>
      <c r="D96" s="170">
        <v>158726.92537313432</v>
      </c>
      <c r="E96" s="83">
        <v>2</v>
      </c>
      <c r="F96" s="86" t="s">
        <v>41</v>
      </c>
      <c r="G96" s="172">
        <v>1</v>
      </c>
      <c r="H96" s="173">
        <v>10634704</v>
      </c>
    </row>
    <row r="97" spans="1:8" x14ac:dyDescent="0.2">
      <c r="A97" s="83">
        <v>2</v>
      </c>
      <c r="B97" s="83">
        <v>68</v>
      </c>
      <c r="C97" s="170">
        <v>12356804</v>
      </c>
      <c r="D97" s="170">
        <v>181717.70588235295</v>
      </c>
      <c r="E97" s="83">
        <v>4</v>
      </c>
      <c r="F97" s="86" t="s">
        <v>41</v>
      </c>
      <c r="G97" s="172">
        <v>1</v>
      </c>
      <c r="H97" s="173">
        <v>12356804</v>
      </c>
    </row>
    <row r="98" spans="1:8" x14ac:dyDescent="0.2">
      <c r="A98" s="83">
        <v>2</v>
      </c>
      <c r="B98" s="83">
        <v>68</v>
      </c>
      <c r="C98" s="170">
        <v>12824762</v>
      </c>
      <c r="D98" s="170">
        <v>188599.4411764706</v>
      </c>
      <c r="E98" s="83">
        <v>5</v>
      </c>
      <c r="F98" s="86" t="s">
        <v>41</v>
      </c>
      <c r="G98" s="172">
        <v>1</v>
      </c>
      <c r="H98" s="173">
        <v>12824762</v>
      </c>
    </row>
    <row r="99" spans="1:8" x14ac:dyDescent="0.2">
      <c r="A99" s="83">
        <v>2</v>
      </c>
      <c r="B99" s="83">
        <v>69</v>
      </c>
      <c r="C99" s="87">
        <v>12694104</v>
      </c>
      <c r="D99" s="170">
        <v>183972.52173913043</v>
      </c>
      <c r="E99" s="83">
        <v>4</v>
      </c>
      <c r="F99" s="86" t="s">
        <v>41</v>
      </c>
      <c r="G99" s="172">
        <v>1</v>
      </c>
      <c r="H99" s="173">
        <v>12694104</v>
      </c>
    </row>
    <row r="100" spans="1:8" x14ac:dyDescent="0.2">
      <c r="A100" s="83">
        <v>2</v>
      </c>
      <c r="B100" s="83">
        <v>69</v>
      </c>
      <c r="C100" s="87">
        <v>12853126</v>
      </c>
      <c r="D100" s="170">
        <v>186277.18840579709</v>
      </c>
      <c r="E100" s="83">
        <v>5</v>
      </c>
      <c r="F100" s="86" t="s">
        <v>41</v>
      </c>
      <c r="G100" s="172">
        <v>1</v>
      </c>
      <c r="H100" s="173">
        <v>12853126</v>
      </c>
    </row>
    <row r="101" spans="1:8" x14ac:dyDescent="0.2">
      <c r="A101" s="83">
        <v>3</v>
      </c>
      <c r="B101" s="83">
        <v>83</v>
      </c>
      <c r="C101" s="87">
        <v>14451840</v>
      </c>
      <c r="D101" s="170">
        <v>174118.55421686746</v>
      </c>
      <c r="E101" s="83">
        <v>4</v>
      </c>
      <c r="F101" s="86" t="s">
        <v>41</v>
      </c>
      <c r="G101" s="172">
        <v>1</v>
      </c>
      <c r="H101" s="166">
        <v>14451840</v>
      </c>
    </row>
    <row r="102" spans="1:8" x14ac:dyDescent="0.2">
      <c r="A102" s="83">
        <v>3</v>
      </c>
      <c r="B102" s="83">
        <v>83</v>
      </c>
      <c r="C102" s="170">
        <v>14593280</v>
      </c>
      <c r="D102" s="170">
        <v>175822.65060240965</v>
      </c>
      <c r="E102" s="83">
        <v>7</v>
      </c>
      <c r="F102" s="86" t="s">
        <v>41</v>
      </c>
      <c r="G102" s="172">
        <v>1</v>
      </c>
      <c r="H102" s="166">
        <v>14593280</v>
      </c>
    </row>
    <row r="103" spans="1:8" x14ac:dyDescent="0.2">
      <c r="A103" s="83">
        <v>3</v>
      </c>
      <c r="B103" s="83">
        <v>84</v>
      </c>
      <c r="C103" s="87">
        <v>11217070</v>
      </c>
      <c r="D103" s="170">
        <v>133536.54761904763</v>
      </c>
      <c r="E103" s="83">
        <v>2</v>
      </c>
      <c r="F103" s="86" t="s">
        <v>45</v>
      </c>
      <c r="G103" s="172">
        <v>1</v>
      </c>
      <c r="H103" s="166">
        <v>11217070</v>
      </c>
    </row>
    <row r="104" spans="1:8" x14ac:dyDescent="0.2">
      <c r="A104" s="83">
        <v>3</v>
      </c>
      <c r="B104" s="83">
        <v>84</v>
      </c>
      <c r="C104" s="87">
        <v>11509181</v>
      </c>
      <c r="D104" s="170">
        <v>137014.05952380953</v>
      </c>
      <c r="E104" s="83">
        <v>3</v>
      </c>
      <c r="F104" s="86" t="s">
        <v>45</v>
      </c>
      <c r="G104" s="172">
        <v>1</v>
      </c>
      <c r="H104" s="166">
        <v>11509181</v>
      </c>
    </row>
    <row r="105" spans="1:8" x14ac:dyDescent="0.2">
      <c r="A105" s="84">
        <v>3</v>
      </c>
      <c r="B105" s="84">
        <v>87</v>
      </c>
      <c r="C105" s="203">
        <v>13676528</v>
      </c>
      <c r="D105" s="230">
        <v>157201.47126436781</v>
      </c>
      <c r="E105" s="84">
        <v>4</v>
      </c>
      <c r="F105" s="195" t="s">
        <v>45</v>
      </c>
      <c r="G105" s="231">
        <v>1</v>
      </c>
      <c r="H105" s="166">
        <v>13676528</v>
      </c>
    </row>
    <row r="106" spans="1:8" x14ac:dyDescent="0.2">
      <c r="A106" s="279" t="s">
        <v>56</v>
      </c>
      <c r="B106" s="280"/>
      <c r="C106" s="280"/>
      <c r="D106" s="280"/>
      <c r="E106" s="280"/>
      <c r="F106" s="281"/>
      <c r="G106" s="346"/>
      <c r="H106" s="342"/>
    </row>
    <row r="107" spans="1:8" x14ac:dyDescent="0.2">
      <c r="A107" s="347" t="s">
        <v>6</v>
      </c>
      <c r="B107" s="348" t="s">
        <v>7</v>
      </c>
      <c r="C107" s="348" t="s">
        <v>8</v>
      </c>
      <c r="D107" s="349" t="s">
        <v>11</v>
      </c>
      <c r="E107" s="350" t="s">
        <v>10</v>
      </c>
      <c r="F107" s="348" t="s">
        <v>9</v>
      </c>
      <c r="G107" s="351" t="s">
        <v>31</v>
      </c>
      <c r="H107" s="348" t="s">
        <v>32</v>
      </c>
    </row>
    <row r="108" spans="1:8" x14ac:dyDescent="0.2">
      <c r="A108" s="84">
        <v>2</v>
      </c>
      <c r="B108" s="84">
        <v>64</v>
      </c>
      <c r="C108" s="203">
        <v>8716963</v>
      </c>
      <c r="D108" s="230">
        <v>136202.546875</v>
      </c>
      <c r="E108" s="232" t="s">
        <v>14</v>
      </c>
      <c r="F108" s="84" t="s">
        <v>45</v>
      </c>
      <c r="G108" s="171">
        <v>1</v>
      </c>
      <c r="H108" s="203">
        <v>10153650</v>
      </c>
    </row>
    <row r="109" spans="1:8" x14ac:dyDescent="0.2">
      <c r="A109" s="261" t="s">
        <v>110</v>
      </c>
      <c r="B109" s="261"/>
      <c r="C109" s="261"/>
      <c r="D109" s="261"/>
      <c r="E109" s="261"/>
      <c r="F109" s="261"/>
      <c r="G109" s="352"/>
      <c r="H109" s="353"/>
    </row>
    <row r="110" spans="1:8" x14ac:dyDescent="0.2">
      <c r="A110" s="354" t="s">
        <v>6</v>
      </c>
      <c r="B110" s="354" t="s">
        <v>7</v>
      </c>
      <c r="C110" s="354" t="s">
        <v>8</v>
      </c>
      <c r="D110" s="355" t="s">
        <v>11</v>
      </c>
      <c r="E110" s="356" t="s">
        <v>10</v>
      </c>
      <c r="F110" s="354" t="s">
        <v>9</v>
      </c>
      <c r="G110" s="339" t="s">
        <v>31</v>
      </c>
      <c r="H110" s="166" t="s">
        <v>32</v>
      </c>
    </row>
    <row r="111" spans="1:8" x14ac:dyDescent="0.2">
      <c r="A111" s="166">
        <v>1</v>
      </c>
      <c r="B111" s="166">
        <v>40</v>
      </c>
      <c r="C111" s="173">
        <v>7991984</v>
      </c>
      <c r="D111" s="340">
        <v>199799.6</v>
      </c>
      <c r="E111" s="166">
        <v>8</v>
      </c>
      <c r="F111" s="166" t="s">
        <v>41</v>
      </c>
      <c r="G111" s="336">
        <v>1</v>
      </c>
      <c r="H111" s="173">
        <v>7991984</v>
      </c>
    </row>
    <row r="112" spans="1:8" x14ac:dyDescent="0.2">
      <c r="A112" s="166">
        <v>2</v>
      </c>
      <c r="B112" s="166">
        <v>41</v>
      </c>
      <c r="C112" s="173">
        <v>8415243</v>
      </c>
      <c r="D112" s="340">
        <v>205249.82926829267</v>
      </c>
      <c r="E112" s="166">
        <v>5</v>
      </c>
      <c r="F112" s="166" t="s">
        <v>41</v>
      </c>
      <c r="G112" s="336">
        <v>1</v>
      </c>
      <c r="H112" s="173">
        <v>8415243</v>
      </c>
    </row>
    <row r="113" spans="1:8" x14ac:dyDescent="0.2">
      <c r="A113" s="166">
        <v>1</v>
      </c>
      <c r="B113" s="166">
        <v>41</v>
      </c>
      <c r="C113" s="173">
        <v>8632914</v>
      </c>
      <c r="D113" s="340">
        <v>210558.87804878049</v>
      </c>
      <c r="E113" s="166">
        <v>6</v>
      </c>
      <c r="F113" s="166" t="s">
        <v>41</v>
      </c>
      <c r="G113" s="336">
        <v>1</v>
      </c>
      <c r="H113" s="173">
        <v>8632914</v>
      </c>
    </row>
    <row r="114" spans="1:8" x14ac:dyDescent="0.2">
      <c r="A114" s="166">
        <v>1</v>
      </c>
      <c r="B114" s="166">
        <v>42</v>
      </c>
      <c r="C114" s="173">
        <v>8295000</v>
      </c>
      <c r="D114" s="340">
        <v>197500</v>
      </c>
      <c r="E114" s="166">
        <v>2</v>
      </c>
      <c r="F114" s="166" t="s">
        <v>74</v>
      </c>
      <c r="G114" s="336">
        <v>1</v>
      </c>
      <c r="H114" s="173">
        <v>8295000</v>
      </c>
    </row>
    <row r="115" spans="1:8" x14ac:dyDescent="0.2">
      <c r="A115" s="166">
        <v>1</v>
      </c>
      <c r="B115" s="166">
        <v>43</v>
      </c>
      <c r="C115" s="173">
        <v>7904022</v>
      </c>
      <c r="D115" s="340">
        <v>183814.46511627908</v>
      </c>
      <c r="E115" s="166">
        <v>6</v>
      </c>
      <c r="F115" s="166" t="s">
        <v>74</v>
      </c>
      <c r="G115" s="336">
        <v>1</v>
      </c>
      <c r="H115" s="173">
        <v>7904022</v>
      </c>
    </row>
    <row r="116" spans="1:8" x14ac:dyDescent="0.2">
      <c r="A116" s="166">
        <v>1</v>
      </c>
      <c r="B116" s="166">
        <v>43</v>
      </c>
      <c r="C116" s="173">
        <v>8420342</v>
      </c>
      <c r="D116" s="340">
        <v>195821.90697674418</v>
      </c>
      <c r="E116" s="166">
        <v>6</v>
      </c>
      <c r="F116" s="166" t="s">
        <v>41</v>
      </c>
      <c r="G116" s="336">
        <v>1</v>
      </c>
      <c r="H116" s="173">
        <v>8420342</v>
      </c>
    </row>
    <row r="117" spans="1:8" x14ac:dyDescent="0.2">
      <c r="A117" s="166">
        <v>1</v>
      </c>
      <c r="B117" s="166">
        <v>43</v>
      </c>
      <c r="C117" s="173">
        <v>8106028</v>
      </c>
      <c r="D117" s="340">
        <v>188512.27906976745</v>
      </c>
      <c r="E117" s="166">
        <v>7</v>
      </c>
      <c r="F117" s="166" t="s">
        <v>41</v>
      </c>
      <c r="G117" s="336">
        <v>1</v>
      </c>
      <c r="H117" s="173">
        <v>8106028</v>
      </c>
    </row>
    <row r="118" spans="1:8" x14ac:dyDescent="0.2">
      <c r="A118" s="166">
        <v>1</v>
      </c>
      <c r="B118" s="166">
        <v>43</v>
      </c>
      <c r="C118" s="173">
        <v>8506882</v>
      </c>
      <c r="D118" s="340">
        <v>197834.46511627908</v>
      </c>
      <c r="E118" s="166">
        <v>8</v>
      </c>
      <c r="F118" s="166" t="s">
        <v>41</v>
      </c>
      <c r="G118" s="336">
        <v>1</v>
      </c>
      <c r="H118" s="173">
        <v>8506882</v>
      </c>
    </row>
    <row r="119" spans="1:8" x14ac:dyDescent="0.2">
      <c r="A119" s="166">
        <v>2</v>
      </c>
      <c r="B119" s="166">
        <v>43</v>
      </c>
      <c r="C119" s="173">
        <v>6805453</v>
      </c>
      <c r="D119" s="340">
        <v>158266.34883720931</v>
      </c>
      <c r="E119" s="166">
        <v>5</v>
      </c>
      <c r="F119" s="166" t="s">
        <v>74</v>
      </c>
      <c r="G119" s="336">
        <v>1</v>
      </c>
      <c r="H119" s="173">
        <v>6805453</v>
      </c>
    </row>
    <row r="120" spans="1:8" x14ac:dyDescent="0.2">
      <c r="A120" s="166">
        <v>1</v>
      </c>
      <c r="B120" s="166">
        <v>43</v>
      </c>
      <c r="C120" s="173">
        <v>8333802</v>
      </c>
      <c r="D120" s="340">
        <v>193809.34883720931</v>
      </c>
      <c r="E120" s="166">
        <v>5</v>
      </c>
      <c r="F120" s="166" t="s">
        <v>41</v>
      </c>
      <c r="G120" s="336">
        <v>1</v>
      </c>
      <c r="H120" s="173">
        <v>8333802</v>
      </c>
    </row>
    <row r="121" spans="1:8" x14ac:dyDescent="0.2">
      <c r="A121" s="166">
        <v>1</v>
      </c>
      <c r="B121" s="166">
        <v>43</v>
      </c>
      <c r="C121" s="173">
        <v>8480992</v>
      </c>
      <c r="D121" s="340">
        <v>197232.37209302327</v>
      </c>
      <c r="E121" s="166">
        <v>5</v>
      </c>
      <c r="F121" s="166" t="s">
        <v>74</v>
      </c>
      <c r="G121" s="336">
        <v>1</v>
      </c>
      <c r="H121" s="173">
        <v>8480992</v>
      </c>
    </row>
    <row r="122" spans="1:8" x14ac:dyDescent="0.2">
      <c r="A122" s="166">
        <v>1</v>
      </c>
      <c r="B122" s="166">
        <v>47</v>
      </c>
      <c r="C122" s="173">
        <v>8319564</v>
      </c>
      <c r="D122" s="340">
        <v>177012</v>
      </c>
      <c r="E122" s="166">
        <v>3</v>
      </c>
      <c r="F122" s="166" t="s">
        <v>74</v>
      </c>
      <c r="G122" s="336">
        <v>1</v>
      </c>
      <c r="H122" s="173">
        <v>8319564</v>
      </c>
    </row>
    <row r="123" spans="1:8" x14ac:dyDescent="0.2">
      <c r="A123" s="166">
        <v>2</v>
      </c>
      <c r="B123" s="166">
        <v>53</v>
      </c>
      <c r="C123" s="173">
        <v>9600975</v>
      </c>
      <c r="D123" s="340">
        <v>181150.47169811319</v>
      </c>
      <c r="E123" s="166">
        <v>5</v>
      </c>
      <c r="F123" s="166" t="s">
        <v>41</v>
      </c>
      <c r="G123" s="336">
        <v>1</v>
      </c>
      <c r="H123" s="173">
        <v>9600975</v>
      </c>
    </row>
    <row r="124" spans="1:8" x14ac:dyDescent="0.2">
      <c r="A124" s="166">
        <v>2</v>
      </c>
      <c r="B124" s="166">
        <v>54</v>
      </c>
      <c r="C124" s="173">
        <v>10423937</v>
      </c>
      <c r="D124" s="340">
        <v>193035.87037037036</v>
      </c>
      <c r="E124" s="166">
        <v>6</v>
      </c>
      <c r="F124" s="166" t="s">
        <v>41</v>
      </c>
      <c r="G124" s="336">
        <v>1</v>
      </c>
      <c r="H124" s="173">
        <v>10423937</v>
      </c>
    </row>
    <row r="125" spans="1:8" x14ac:dyDescent="0.2">
      <c r="A125" s="166">
        <v>2</v>
      </c>
      <c r="B125" s="166">
        <v>56</v>
      </c>
      <c r="C125" s="173">
        <v>10772400</v>
      </c>
      <c r="D125" s="340">
        <v>192364.28571428571</v>
      </c>
      <c r="E125" s="166">
        <v>2</v>
      </c>
      <c r="F125" s="166" t="s">
        <v>41</v>
      </c>
      <c r="G125" s="336">
        <v>1</v>
      </c>
      <c r="H125" s="173">
        <v>10772400</v>
      </c>
    </row>
    <row r="126" spans="1:8" x14ac:dyDescent="0.2">
      <c r="A126" s="166">
        <v>2</v>
      </c>
      <c r="B126" s="166">
        <v>58</v>
      </c>
      <c r="C126" s="173">
        <v>11078067</v>
      </c>
      <c r="D126" s="340">
        <v>191001.1551724138</v>
      </c>
      <c r="E126" s="166">
        <v>3</v>
      </c>
      <c r="F126" s="166" t="s">
        <v>41</v>
      </c>
      <c r="G126" s="336">
        <v>1</v>
      </c>
      <c r="H126" s="173">
        <v>11078067</v>
      </c>
    </row>
    <row r="127" spans="1:8" x14ac:dyDescent="0.2">
      <c r="A127" s="166">
        <v>2</v>
      </c>
      <c r="B127" s="166">
        <v>58</v>
      </c>
      <c r="C127" s="173">
        <v>9486617</v>
      </c>
      <c r="D127" s="340">
        <v>163562.36206896551</v>
      </c>
      <c r="E127" s="166">
        <v>2</v>
      </c>
      <c r="F127" s="166" t="s">
        <v>41</v>
      </c>
      <c r="G127" s="336">
        <v>1</v>
      </c>
      <c r="H127" s="173">
        <v>9486617</v>
      </c>
    </row>
    <row r="128" spans="1:8" x14ac:dyDescent="0.2">
      <c r="A128" s="166">
        <v>2</v>
      </c>
      <c r="B128" s="166">
        <v>60</v>
      </c>
      <c r="C128" s="173">
        <v>9020293</v>
      </c>
      <c r="D128" s="340">
        <v>150338.21666666667</v>
      </c>
      <c r="E128" s="166">
        <v>1</v>
      </c>
      <c r="F128" s="166" t="s">
        <v>74</v>
      </c>
      <c r="G128" s="336">
        <v>1</v>
      </c>
      <c r="H128" s="173">
        <v>9020293</v>
      </c>
    </row>
    <row r="129" spans="1:8" x14ac:dyDescent="0.2">
      <c r="A129" s="166">
        <v>3</v>
      </c>
      <c r="B129" s="166">
        <v>63</v>
      </c>
      <c r="C129" s="173">
        <v>10565880</v>
      </c>
      <c r="D129" s="340">
        <v>167712.38095238095</v>
      </c>
      <c r="E129" s="166">
        <v>2</v>
      </c>
      <c r="F129" s="166" t="s">
        <v>41</v>
      </c>
      <c r="G129" s="336">
        <v>1</v>
      </c>
      <c r="H129" s="173">
        <v>10565880</v>
      </c>
    </row>
    <row r="130" spans="1:8" x14ac:dyDescent="0.2">
      <c r="A130" s="166">
        <v>3</v>
      </c>
      <c r="B130" s="166">
        <v>64</v>
      </c>
      <c r="C130" s="173">
        <v>11510191</v>
      </c>
      <c r="D130" s="340">
        <v>179846.734375</v>
      </c>
      <c r="E130" s="166">
        <v>8</v>
      </c>
      <c r="F130" s="166" t="s">
        <v>41</v>
      </c>
      <c r="G130" s="336">
        <v>1</v>
      </c>
      <c r="H130" s="173">
        <v>11510191</v>
      </c>
    </row>
    <row r="131" spans="1:8" x14ac:dyDescent="0.2">
      <c r="A131" s="166">
        <v>2</v>
      </c>
      <c r="B131" s="166">
        <v>65</v>
      </c>
      <c r="C131" s="173">
        <v>12173000</v>
      </c>
      <c r="D131" s="340">
        <v>187276.92307692306</v>
      </c>
      <c r="E131" s="166">
        <v>7</v>
      </c>
      <c r="F131" s="166" t="s">
        <v>41</v>
      </c>
      <c r="G131" s="336">
        <v>1</v>
      </c>
      <c r="H131" s="173">
        <v>12173000</v>
      </c>
    </row>
    <row r="132" spans="1:8" x14ac:dyDescent="0.2">
      <c r="A132" s="166">
        <v>3</v>
      </c>
      <c r="B132" s="166">
        <v>68</v>
      </c>
      <c r="C132" s="173">
        <v>11040140</v>
      </c>
      <c r="D132" s="340">
        <v>162355</v>
      </c>
      <c r="E132" s="166">
        <v>5</v>
      </c>
      <c r="F132" s="166" t="s">
        <v>41</v>
      </c>
      <c r="G132" s="336">
        <v>1</v>
      </c>
      <c r="H132" s="173">
        <v>11040140</v>
      </c>
    </row>
    <row r="133" spans="1:8" x14ac:dyDescent="0.2">
      <c r="A133" s="166">
        <v>3</v>
      </c>
      <c r="B133" s="166">
        <v>69</v>
      </c>
      <c r="C133" s="173">
        <v>9922467</v>
      </c>
      <c r="D133" s="340">
        <v>143803.86956521738</v>
      </c>
      <c r="E133" s="166">
        <v>2</v>
      </c>
      <c r="F133" s="166" t="s">
        <v>41</v>
      </c>
      <c r="G133" s="336">
        <v>1</v>
      </c>
      <c r="H133" s="173">
        <v>9922467</v>
      </c>
    </row>
    <row r="134" spans="1:8" x14ac:dyDescent="0.2">
      <c r="A134" s="166">
        <v>3</v>
      </c>
      <c r="B134" s="166">
        <v>69</v>
      </c>
      <c r="C134" s="173">
        <v>11426532</v>
      </c>
      <c r="D134" s="340">
        <v>165601.91304347827</v>
      </c>
      <c r="E134" s="166">
        <v>2</v>
      </c>
      <c r="F134" s="166" t="s">
        <v>41</v>
      </c>
      <c r="G134" s="336">
        <v>1</v>
      </c>
      <c r="H134" s="173">
        <v>11426532</v>
      </c>
    </row>
    <row r="135" spans="1:8" x14ac:dyDescent="0.2">
      <c r="A135" s="166">
        <v>3</v>
      </c>
      <c r="B135" s="166">
        <v>72</v>
      </c>
      <c r="C135" s="173">
        <v>11172077</v>
      </c>
      <c r="D135" s="340">
        <v>155167.73611111112</v>
      </c>
      <c r="E135" s="166">
        <v>5</v>
      </c>
      <c r="F135" s="166" t="s">
        <v>41</v>
      </c>
      <c r="G135" s="336">
        <v>1</v>
      </c>
      <c r="H135" s="173">
        <v>11172077</v>
      </c>
    </row>
    <row r="136" spans="1:8" x14ac:dyDescent="0.2">
      <c r="A136" s="166">
        <v>3</v>
      </c>
      <c r="B136" s="166">
        <v>74</v>
      </c>
      <c r="C136" s="173">
        <v>11435472</v>
      </c>
      <c r="D136" s="340">
        <v>154533.40540540541</v>
      </c>
      <c r="E136" s="166">
        <v>2</v>
      </c>
      <c r="F136" s="166" t="s">
        <v>41</v>
      </c>
      <c r="G136" s="336">
        <v>1</v>
      </c>
      <c r="H136" s="173">
        <v>11435472</v>
      </c>
    </row>
    <row r="137" spans="1:8" x14ac:dyDescent="0.2">
      <c r="A137" s="166">
        <v>2</v>
      </c>
      <c r="B137" s="166">
        <v>74</v>
      </c>
      <c r="C137" s="173">
        <v>9929989</v>
      </c>
      <c r="D137" s="340">
        <v>134189.04054054053</v>
      </c>
      <c r="E137" s="166">
        <v>2</v>
      </c>
      <c r="F137" s="166" t="s">
        <v>45</v>
      </c>
      <c r="G137" s="336">
        <v>1</v>
      </c>
      <c r="H137" s="173">
        <v>9929989</v>
      </c>
    </row>
    <row r="138" spans="1:8" x14ac:dyDescent="0.2">
      <c r="A138" s="166">
        <v>2</v>
      </c>
      <c r="B138" s="166">
        <v>75</v>
      </c>
      <c r="C138" s="173">
        <v>9725300</v>
      </c>
      <c r="D138" s="340">
        <v>129670.66666666667</v>
      </c>
      <c r="E138" s="166">
        <v>6</v>
      </c>
      <c r="F138" s="166" t="s">
        <v>45</v>
      </c>
      <c r="G138" s="336">
        <v>1</v>
      </c>
      <c r="H138" s="173">
        <v>9725300</v>
      </c>
    </row>
    <row r="139" spans="1:8" x14ac:dyDescent="0.2">
      <c r="A139" s="166">
        <v>2</v>
      </c>
      <c r="B139" s="166">
        <v>77</v>
      </c>
      <c r="C139" s="173">
        <v>12290700</v>
      </c>
      <c r="D139" s="340">
        <v>159619.48051948051</v>
      </c>
      <c r="E139" s="166">
        <v>3</v>
      </c>
      <c r="F139" s="166" t="s">
        <v>45</v>
      </c>
      <c r="G139" s="336">
        <v>1</v>
      </c>
      <c r="H139" s="173">
        <v>12290700</v>
      </c>
    </row>
    <row r="140" spans="1:8" x14ac:dyDescent="0.2">
      <c r="A140" s="166">
        <v>2</v>
      </c>
      <c r="B140" s="166">
        <v>78</v>
      </c>
      <c r="C140" s="173">
        <v>10775489</v>
      </c>
      <c r="D140" s="340">
        <v>138147.29487179487</v>
      </c>
      <c r="E140" s="166">
        <v>2</v>
      </c>
      <c r="F140" s="166" t="s">
        <v>45</v>
      </c>
      <c r="G140" s="336">
        <v>1</v>
      </c>
      <c r="H140" s="173">
        <v>10775489</v>
      </c>
    </row>
    <row r="141" spans="1:8" x14ac:dyDescent="0.2">
      <c r="A141" s="166">
        <v>2</v>
      </c>
      <c r="B141" s="166">
        <v>82</v>
      </c>
      <c r="C141" s="173">
        <v>12663420</v>
      </c>
      <c r="D141" s="340">
        <v>154431.95121951221</v>
      </c>
      <c r="E141" s="166">
        <v>7</v>
      </c>
      <c r="F141" s="166" t="s">
        <v>74</v>
      </c>
      <c r="G141" s="336">
        <v>1</v>
      </c>
      <c r="H141" s="166">
        <v>12663420</v>
      </c>
    </row>
    <row r="142" spans="1:8" x14ac:dyDescent="0.2">
      <c r="A142" s="268" t="s">
        <v>26</v>
      </c>
      <c r="B142" s="269"/>
      <c r="C142" s="269"/>
      <c r="D142" s="269"/>
      <c r="E142" s="269"/>
      <c r="F142" s="270"/>
      <c r="G142" s="336"/>
      <c r="H142" s="337"/>
    </row>
    <row r="143" spans="1:8" x14ac:dyDescent="0.2">
      <c r="A143" s="166" t="s">
        <v>6</v>
      </c>
      <c r="B143" s="166" t="s">
        <v>7</v>
      </c>
      <c r="C143" s="166" t="s">
        <v>8</v>
      </c>
      <c r="D143" s="340" t="s">
        <v>11</v>
      </c>
      <c r="E143" s="357" t="s">
        <v>10</v>
      </c>
      <c r="F143" s="166" t="s">
        <v>9</v>
      </c>
      <c r="G143" s="339" t="s">
        <v>31</v>
      </c>
      <c r="H143" s="166" t="s">
        <v>32</v>
      </c>
    </row>
    <row r="144" spans="1:8" x14ac:dyDescent="0.2">
      <c r="A144" s="166">
        <v>3</v>
      </c>
      <c r="B144" s="166">
        <v>64</v>
      </c>
      <c r="C144" s="173">
        <v>18032000</v>
      </c>
      <c r="D144" s="340">
        <v>281750</v>
      </c>
      <c r="E144" s="357" t="s">
        <v>22</v>
      </c>
      <c r="F144" s="166" t="s">
        <v>36</v>
      </c>
      <c r="G144" s="339">
        <v>1</v>
      </c>
      <c r="H144" s="173">
        <v>18032000</v>
      </c>
    </row>
    <row r="145" spans="1:8" x14ac:dyDescent="0.2">
      <c r="A145" s="166">
        <v>3</v>
      </c>
      <c r="B145" s="166">
        <v>64</v>
      </c>
      <c r="C145" s="173">
        <v>17404620</v>
      </c>
      <c r="D145" s="340">
        <v>271947.1875</v>
      </c>
      <c r="E145" s="357" t="s">
        <v>37</v>
      </c>
      <c r="F145" s="166" t="s">
        <v>36</v>
      </c>
      <c r="G145" s="339">
        <v>1</v>
      </c>
      <c r="H145" s="173">
        <v>17404620</v>
      </c>
    </row>
    <row r="146" spans="1:8" x14ac:dyDescent="0.2">
      <c r="A146" s="166">
        <v>3</v>
      </c>
      <c r="B146" s="166">
        <v>65</v>
      </c>
      <c r="C146" s="173">
        <v>17190060</v>
      </c>
      <c r="D146" s="340">
        <v>264462.46153846156</v>
      </c>
      <c r="E146" s="357" t="s">
        <v>29</v>
      </c>
      <c r="F146" s="166" t="s">
        <v>36</v>
      </c>
      <c r="G146" s="339">
        <v>1</v>
      </c>
      <c r="H146" s="173">
        <v>17190060</v>
      </c>
    </row>
    <row r="147" spans="1:8" x14ac:dyDescent="0.2">
      <c r="A147" s="166">
        <v>2</v>
      </c>
      <c r="B147" s="166">
        <v>66</v>
      </c>
      <c r="C147" s="173">
        <v>15206080</v>
      </c>
      <c r="D147" s="340">
        <v>230395.15151515152</v>
      </c>
      <c r="E147" s="357" t="s">
        <v>15</v>
      </c>
      <c r="F147" s="166" t="s">
        <v>36</v>
      </c>
      <c r="G147" s="339">
        <v>1</v>
      </c>
      <c r="H147" s="173">
        <v>15206080</v>
      </c>
    </row>
    <row r="148" spans="1:8" x14ac:dyDescent="0.2">
      <c r="A148" s="166">
        <v>3</v>
      </c>
      <c r="B148" s="166">
        <v>78</v>
      </c>
      <c r="C148" s="173">
        <v>18855200</v>
      </c>
      <c r="D148" s="340">
        <v>241733.33333333334</v>
      </c>
      <c r="E148" s="357" t="s">
        <v>37</v>
      </c>
      <c r="F148" s="166" t="s">
        <v>36</v>
      </c>
      <c r="G148" s="336">
        <v>1</v>
      </c>
      <c r="H148" s="173">
        <v>18855200</v>
      </c>
    </row>
    <row r="149" spans="1:8" x14ac:dyDescent="0.2">
      <c r="A149" s="166">
        <v>3</v>
      </c>
      <c r="B149" s="166">
        <v>78</v>
      </c>
      <c r="C149" s="173">
        <v>18337760</v>
      </c>
      <c r="D149" s="340">
        <v>235099.48717948719</v>
      </c>
      <c r="E149" s="357" t="s">
        <v>29</v>
      </c>
      <c r="F149" s="166" t="s">
        <v>36</v>
      </c>
      <c r="G149" s="336">
        <v>1</v>
      </c>
      <c r="H149" s="173">
        <v>18337760</v>
      </c>
    </row>
    <row r="150" spans="1:8" x14ac:dyDescent="0.2">
      <c r="A150" s="166">
        <v>3</v>
      </c>
      <c r="B150" s="166">
        <v>78</v>
      </c>
      <c r="C150" s="173">
        <v>19059040</v>
      </c>
      <c r="D150" s="340">
        <v>244346.66666666666</v>
      </c>
      <c r="E150" s="357" t="s">
        <v>29</v>
      </c>
      <c r="F150" s="166" t="s">
        <v>36</v>
      </c>
      <c r="G150" s="336">
        <v>1</v>
      </c>
      <c r="H150" s="173">
        <v>19059040</v>
      </c>
    </row>
    <row r="151" spans="1:8" x14ac:dyDescent="0.2">
      <c r="A151" s="166">
        <v>3</v>
      </c>
      <c r="B151" s="166">
        <v>79</v>
      </c>
      <c r="C151" s="173">
        <v>19554350</v>
      </c>
      <c r="D151" s="340">
        <v>247523.41772151898</v>
      </c>
      <c r="E151" s="357" t="s">
        <v>37</v>
      </c>
      <c r="F151" s="166" t="s">
        <v>36</v>
      </c>
      <c r="G151" s="336">
        <v>1</v>
      </c>
      <c r="H151" s="173">
        <v>19554350</v>
      </c>
    </row>
    <row r="152" spans="1:8" x14ac:dyDescent="0.2">
      <c r="A152" s="166">
        <v>2</v>
      </c>
      <c r="B152" s="166">
        <v>79</v>
      </c>
      <c r="C152" s="173">
        <v>17064000</v>
      </c>
      <c r="D152" s="340">
        <v>216000</v>
      </c>
      <c r="E152" s="357" t="s">
        <v>34</v>
      </c>
      <c r="F152" s="166" t="s">
        <v>36</v>
      </c>
      <c r="G152" s="336">
        <v>1</v>
      </c>
      <c r="H152" s="173">
        <v>17064000</v>
      </c>
    </row>
    <row r="153" spans="1:8" x14ac:dyDescent="0.2">
      <c r="A153" s="166">
        <v>3</v>
      </c>
      <c r="B153" s="166">
        <v>79</v>
      </c>
      <c r="C153" s="173">
        <v>18604620</v>
      </c>
      <c r="D153" s="340">
        <v>235501.51898734178</v>
      </c>
      <c r="E153" s="357" t="s">
        <v>115</v>
      </c>
      <c r="F153" s="166" t="s">
        <v>36</v>
      </c>
      <c r="G153" s="336">
        <v>1</v>
      </c>
      <c r="H153" s="173">
        <v>18604620</v>
      </c>
    </row>
    <row r="154" spans="1:8" x14ac:dyDescent="0.2">
      <c r="A154" s="168">
        <v>2</v>
      </c>
      <c r="B154" s="358">
        <v>80</v>
      </c>
      <c r="C154" s="359">
        <v>16774500</v>
      </c>
      <c r="D154" s="360">
        <v>209681.25</v>
      </c>
      <c r="E154" s="361" t="s">
        <v>17</v>
      </c>
      <c r="F154" s="166" t="s">
        <v>36</v>
      </c>
      <c r="G154" s="231">
        <v>1</v>
      </c>
      <c r="H154" s="173">
        <v>16774500</v>
      </c>
    </row>
    <row r="155" spans="1:8" x14ac:dyDescent="0.2">
      <c r="A155" s="168">
        <v>2</v>
      </c>
      <c r="B155" s="358">
        <v>80</v>
      </c>
      <c r="C155" s="359">
        <v>18473700</v>
      </c>
      <c r="D155" s="360">
        <v>230921.25</v>
      </c>
      <c r="E155" s="361" t="s">
        <v>115</v>
      </c>
      <c r="F155" s="166" t="s">
        <v>36</v>
      </c>
      <c r="G155" s="231">
        <v>1</v>
      </c>
      <c r="H155" s="173">
        <v>18473700</v>
      </c>
    </row>
    <row r="156" spans="1:8" x14ac:dyDescent="0.2">
      <c r="A156" s="260" t="s">
        <v>111</v>
      </c>
      <c r="B156" s="260"/>
      <c r="C156" s="260"/>
      <c r="D156" s="260"/>
      <c r="E156" s="260"/>
      <c r="F156" s="260"/>
    </row>
    <row r="157" spans="1:8" x14ac:dyDescent="0.2">
      <c r="A157" s="83" t="s">
        <v>6</v>
      </c>
      <c r="B157" s="83" t="s">
        <v>7</v>
      </c>
      <c r="C157" s="83" t="s">
        <v>8</v>
      </c>
      <c r="D157" s="170" t="s">
        <v>11</v>
      </c>
      <c r="E157" s="85" t="s">
        <v>10</v>
      </c>
      <c r="F157" s="83" t="s">
        <v>9</v>
      </c>
      <c r="G157" s="339" t="s">
        <v>31</v>
      </c>
      <c r="H157" s="166" t="s">
        <v>32</v>
      </c>
    </row>
    <row r="158" spans="1:8" x14ac:dyDescent="0.2">
      <c r="A158" s="83">
        <v>1</v>
      </c>
      <c r="B158" s="83">
        <v>33</v>
      </c>
      <c r="C158" s="362">
        <v>6374516</v>
      </c>
      <c r="D158" s="83">
        <v>193167.15151515152</v>
      </c>
      <c r="E158" s="83">
        <v>4</v>
      </c>
      <c r="F158" s="83" t="s">
        <v>41</v>
      </c>
      <c r="G158" s="86">
        <v>1</v>
      </c>
      <c r="H158" s="173">
        <v>6374516</v>
      </c>
    </row>
    <row r="159" spans="1:8" x14ac:dyDescent="0.2">
      <c r="A159" s="83">
        <v>1</v>
      </c>
      <c r="B159" s="83">
        <v>34</v>
      </c>
      <c r="C159" s="362">
        <v>6805188</v>
      </c>
      <c r="D159" s="83">
        <v>200152.58823529413</v>
      </c>
      <c r="E159" s="83">
        <v>4</v>
      </c>
      <c r="F159" s="83" t="s">
        <v>41</v>
      </c>
      <c r="G159" s="86">
        <v>1</v>
      </c>
      <c r="H159" s="173">
        <v>6805188</v>
      </c>
    </row>
    <row r="160" spans="1:8" x14ac:dyDescent="0.2">
      <c r="A160" s="83">
        <v>1</v>
      </c>
      <c r="B160" s="83">
        <v>38</v>
      </c>
      <c r="C160" s="362">
        <v>7115863</v>
      </c>
      <c r="D160" s="83">
        <v>187259.55263157896</v>
      </c>
      <c r="E160" s="83">
        <v>3</v>
      </c>
      <c r="F160" s="83" t="s">
        <v>41</v>
      </c>
      <c r="G160" s="86">
        <v>1</v>
      </c>
      <c r="H160" s="173">
        <v>7115863</v>
      </c>
    </row>
    <row r="161" spans="1:9" x14ac:dyDescent="0.2">
      <c r="A161" s="83">
        <v>1</v>
      </c>
      <c r="B161" s="83">
        <v>38</v>
      </c>
      <c r="C161" s="362">
        <v>7259009</v>
      </c>
      <c r="D161" s="83">
        <v>191026.55263157896</v>
      </c>
      <c r="E161" s="83">
        <v>5</v>
      </c>
      <c r="F161" s="83" t="s">
        <v>41</v>
      </c>
      <c r="G161" s="86">
        <v>1</v>
      </c>
      <c r="H161" s="362">
        <v>7259009</v>
      </c>
    </row>
    <row r="162" spans="1:9" x14ac:dyDescent="0.2">
      <c r="A162" s="83">
        <v>2</v>
      </c>
      <c r="B162" s="83">
        <v>40</v>
      </c>
      <c r="C162" s="362">
        <v>7621075</v>
      </c>
      <c r="D162" s="83">
        <v>190526.875</v>
      </c>
      <c r="E162" s="83">
        <v>3</v>
      </c>
      <c r="F162" s="83" t="s">
        <v>41</v>
      </c>
      <c r="G162" s="86">
        <v>1</v>
      </c>
      <c r="H162" s="173">
        <v>7621075</v>
      </c>
    </row>
    <row r="163" spans="1:9" x14ac:dyDescent="0.2">
      <c r="A163" s="83">
        <v>2</v>
      </c>
      <c r="B163" s="83">
        <v>40</v>
      </c>
      <c r="C163" s="362">
        <v>8340790</v>
      </c>
      <c r="D163" s="83">
        <v>208519.75</v>
      </c>
      <c r="E163" s="83">
        <v>8</v>
      </c>
      <c r="F163" s="83" t="s">
        <v>41</v>
      </c>
      <c r="G163" s="86">
        <v>1</v>
      </c>
      <c r="H163" s="173">
        <v>8340790</v>
      </c>
    </row>
    <row r="164" spans="1:9" x14ac:dyDescent="0.2">
      <c r="A164" s="83">
        <v>1</v>
      </c>
      <c r="B164" s="83">
        <v>40</v>
      </c>
      <c r="C164" s="362">
        <v>7724009</v>
      </c>
      <c r="D164" s="83">
        <v>193100.22500000001</v>
      </c>
      <c r="E164" s="83">
        <v>4</v>
      </c>
      <c r="F164" s="83" t="s">
        <v>41</v>
      </c>
      <c r="G164" s="86">
        <v>1</v>
      </c>
      <c r="H164" s="173">
        <v>7724009</v>
      </c>
    </row>
    <row r="165" spans="1:9" x14ac:dyDescent="0.2">
      <c r="A165" s="83">
        <v>1</v>
      </c>
      <c r="B165" s="83">
        <v>40</v>
      </c>
      <c r="C165" s="362">
        <v>6918217</v>
      </c>
      <c r="D165" s="170">
        <v>172955.42499999999</v>
      </c>
      <c r="E165" s="83">
        <v>1</v>
      </c>
      <c r="F165" s="83" t="s">
        <v>45</v>
      </c>
      <c r="G165" s="86">
        <v>1</v>
      </c>
      <c r="H165" s="173">
        <v>6918217</v>
      </c>
    </row>
    <row r="166" spans="1:9" x14ac:dyDescent="0.2">
      <c r="A166" s="83">
        <v>1</v>
      </c>
      <c r="B166" s="83">
        <v>41</v>
      </c>
      <c r="C166" s="363">
        <v>8493378</v>
      </c>
      <c r="D166" s="170">
        <v>207155.56097560975</v>
      </c>
      <c r="E166" s="83">
        <v>8</v>
      </c>
      <c r="F166" s="83" t="s">
        <v>45</v>
      </c>
      <c r="G166" s="86">
        <v>1</v>
      </c>
      <c r="H166" s="173">
        <v>8493378</v>
      </c>
    </row>
    <row r="167" spans="1:9" x14ac:dyDescent="0.2">
      <c r="A167" s="83">
        <v>1</v>
      </c>
      <c r="B167" s="83">
        <v>41</v>
      </c>
      <c r="C167" s="363">
        <v>7745050</v>
      </c>
      <c r="D167" s="170">
        <v>188903.65853658537</v>
      </c>
      <c r="E167" s="83">
        <v>5</v>
      </c>
      <c r="F167" s="83" t="s">
        <v>45</v>
      </c>
      <c r="G167" s="86">
        <v>1</v>
      </c>
      <c r="H167" s="173">
        <v>7745050</v>
      </c>
    </row>
    <row r="168" spans="1:9" x14ac:dyDescent="0.2">
      <c r="A168" s="83">
        <v>1</v>
      </c>
      <c r="B168" s="83">
        <v>42</v>
      </c>
      <c r="C168" s="362">
        <v>6947252</v>
      </c>
      <c r="D168" s="170">
        <v>165410.76190476189</v>
      </c>
      <c r="E168" s="83">
        <v>2</v>
      </c>
      <c r="F168" s="83" t="s">
        <v>45</v>
      </c>
      <c r="G168" s="86">
        <v>1</v>
      </c>
      <c r="H168" s="173">
        <v>6947252</v>
      </c>
    </row>
    <row r="169" spans="1:9" x14ac:dyDescent="0.2">
      <c r="A169" s="83">
        <v>2</v>
      </c>
      <c r="B169" s="83">
        <v>42</v>
      </c>
      <c r="C169" s="362">
        <v>7881895</v>
      </c>
      <c r="D169" s="170">
        <v>187664.16666666666</v>
      </c>
      <c r="E169" s="83">
        <v>3</v>
      </c>
      <c r="F169" s="83" t="s">
        <v>45</v>
      </c>
      <c r="G169" s="86">
        <v>1</v>
      </c>
      <c r="H169" s="173">
        <v>7881895</v>
      </c>
    </row>
    <row r="170" spans="1:9" s="54" customFormat="1" x14ac:dyDescent="0.2">
      <c r="A170" s="83">
        <v>1</v>
      </c>
      <c r="B170" s="83">
        <v>42</v>
      </c>
      <c r="C170" s="362">
        <v>8197236</v>
      </c>
      <c r="D170" s="170">
        <v>195172.28571428571</v>
      </c>
      <c r="E170" s="83">
        <v>3</v>
      </c>
      <c r="F170" s="83" t="s">
        <v>45</v>
      </c>
      <c r="G170" s="86">
        <v>1</v>
      </c>
      <c r="H170" s="173">
        <v>8197236</v>
      </c>
      <c r="I170" s="7"/>
    </row>
    <row r="171" spans="1:9" s="54" customFormat="1" x14ac:dyDescent="0.2">
      <c r="A171" s="83">
        <v>1</v>
      </c>
      <c r="B171" s="83">
        <v>42</v>
      </c>
      <c r="C171" s="362">
        <v>8646715</v>
      </c>
      <c r="D171" s="170">
        <v>205874.16666666666</v>
      </c>
      <c r="E171" s="83">
        <v>4</v>
      </c>
      <c r="F171" s="83" t="s">
        <v>45</v>
      </c>
      <c r="G171" s="86">
        <v>1</v>
      </c>
      <c r="H171" s="173">
        <v>8646715</v>
      </c>
      <c r="I171" s="7"/>
    </row>
    <row r="172" spans="1:9" x14ac:dyDescent="0.2">
      <c r="A172" s="169">
        <v>1</v>
      </c>
      <c r="B172" s="169">
        <v>44</v>
      </c>
      <c r="C172" s="364">
        <v>8530180</v>
      </c>
      <c r="D172" s="365">
        <v>193867.72727272726</v>
      </c>
      <c r="E172" s="169">
        <v>4</v>
      </c>
      <c r="F172" s="169" t="s">
        <v>45</v>
      </c>
      <c r="G172" s="366">
        <v>1</v>
      </c>
      <c r="H172" s="173">
        <v>8530180</v>
      </c>
    </row>
    <row r="173" spans="1:9" x14ac:dyDescent="0.2">
      <c r="A173" s="169">
        <v>1</v>
      </c>
      <c r="B173" s="169">
        <v>45</v>
      </c>
      <c r="C173" s="364">
        <v>8593410</v>
      </c>
      <c r="D173" s="365">
        <v>190964.66666666666</v>
      </c>
      <c r="E173" s="169">
        <v>7</v>
      </c>
      <c r="F173" s="169" t="s">
        <v>45</v>
      </c>
      <c r="G173" s="366">
        <v>1</v>
      </c>
      <c r="H173" s="173">
        <v>8593410</v>
      </c>
    </row>
    <row r="174" spans="1:9" x14ac:dyDescent="0.2">
      <c r="A174" s="169">
        <v>1</v>
      </c>
      <c r="B174" s="169">
        <v>45</v>
      </c>
      <c r="C174" s="364">
        <v>8366910</v>
      </c>
      <c r="D174" s="365">
        <v>185931.33333333334</v>
      </c>
      <c r="E174" s="169">
        <v>5</v>
      </c>
      <c r="F174" s="169" t="s">
        <v>45</v>
      </c>
      <c r="G174" s="366">
        <v>1</v>
      </c>
      <c r="H174" s="173">
        <v>8366910</v>
      </c>
    </row>
    <row r="175" spans="1:9" x14ac:dyDescent="0.2">
      <c r="A175" s="169">
        <v>2</v>
      </c>
      <c r="B175" s="169">
        <v>55</v>
      </c>
      <c r="C175" s="364">
        <v>9585946</v>
      </c>
      <c r="D175" s="365">
        <v>174289.92727272728</v>
      </c>
      <c r="E175" s="169">
        <v>4</v>
      </c>
      <c r="F175" s="169" t="s">
        <v>45</v>
      </c>
      <c r="G175" s="366">
        <v>1</v>
      </c>
      <c r="H175" s="173">
        <v>9585946</v>
      </c>
    </row>
    <row r="176" spans="1:9" x14ac:dyDescent="0.2">
      <c r="A176" s="169">
        <v>2</v>
      </c>
      <c r="B176" s="169">
        <v>55</v>
      </c>
      <c r="C176" s="364">
        <v>9618982</v>
      </c>
      <c r="D176" s="365">
        <v>174890.58181818182</v>
      </c>
      <c r="E176" s="169">
        <v>5</v>
      </c>
      <c r="F176" s="169" t="s">
        <v>45</v>
      </c>
      <c r="G176" s="366">
        <v>1</v>
      </c>
      <c r="H176" s="173">
        <v>9618982</v>
      </c>
    </row>
    <row r="177" spans="1:10" x14ac:dyDescent="0.2">
      <c r="A177" s="169">
        <v>2</v>
      </c>
      <c r="B177" s="169">
        <v>56</v>
      </c>
      <c r="C177" s="364">
        <v>10939838</v>
      </c>
      <c r="D177" s="365">
        <v>195354.25</v>
      </c>
      <c r="E177" s="169">
        <v>5</v>
      </c>
      <c r="F177" s="169" t="s">
        <v>45</v>
      </c>
      <c r="G177" s="366">
        <v>1</v>
      </c>
      <c r="H177" s="173">
        <v>10939838</v>
      </c>
    </row>
    <row r="178" spans="1:10" x14ac:dyDescent="0.2">
      <c r="A178" s="169">
        <v>2</v>
      </c>
      <c r="B178" s="169">
        <v>56</v>
      </c>
      <c r="C178" s="364">
        <v>10996258</v>
      </c>
      <c r="D178" s="365">
        <v>196361.75</v>
      </c>
      <c r="E178" s="169">
        <v>6</v>
      </c>
      <c r="F178" s="169" t="s">
        <v>45</v>
      </c>
      <c r="G178" s="366">
        <v>1</v>
      </c>
      <c r="H178" s="173">
        <v>10996258</v>
      </c>
    </row>
    <row r="179" spans="1:10" x14ac:dyDescent="0.2">
      <c r="A179" s="169">
        <v>2</v>
      </c>
      <c r="B179" s="169">
        <v>57</v>
      </c>
      <c r="C179" s="364">
        <v>11028093</v>
      </c>
      <c r="D179" s="365">
        <v>193475.31578947368</v>
      </c>
      <c r="E179" s="169">
        <v>4</v>
      </c>
      <c r="F179" s="169" t="s">
        <v>41</v>
      </c>
      <c r="G179" s="366">
        <v>1</v>
      </c>
      <c r="H179" s="173">
        <v>11028093</v>
      </c>
    </row>
    <row r="180" spans="1:10" x14ac:dyDescent="0.2">
      <c r="A180" s="169">
        <v>2</v>
      </c>
      <c r="B180" s="169">
        <v>57</v>
      </c>
      <c r="C180" s="364">
        <v>9470096</v>
      </c>
      <c r="D180" s="365">
        <v>166142.0350877193</v>
      </c>
      <c r="E180" s="169">
        <v>3</v>
      </c>
      <c r="F180" s="169" t="s">
        <v>41</v>
      </c>
      <c r="G180" s="366">
        <v>1</v>
      </c>
      <c r="H180" s="173">
        <v>9470096</v>
      </c>
    </row>
    <row r="181" spans="1:10" x14ac:dyDescent="0.2">
      <c r="A181" s="169">
        <v>2</v>
      </c>
      <c r="B181" s="169">
        <v>63</v>
      </c>
      <c r="C181" s="364">
        <v>10075299</v>
      </c>
      <c r="D181" s="365">
        <v>159925.38095238095</v>
      </c>
      <c r="E181" s="169">
        <v>3</v>
      </c>
      <c r="F181" s="169" t="s">
        <v>41</v>
      </c>
      <c r="G181" s="366">
        <v>1</v>
      </c>
      <c r="H181" s="173">
        <v>10075299</v>
      </c>
    </row>
    <row r="182" spans="1:10" x14ac:dyDescent="0.2">
      <c r="A182" s="83">
        <v>2</v>
      </c>
      <c r="B182" s="83">
        <v>64</v>
      </c>
      <c r="C182" s="362">
        <v>11454981</v>
      </c>
      <c r="D182" s="170">
        <v>178984.078125</v>
      </c>
      <c r="E182" s="83">
        <v>4</v>
      </c>
      <c r="F182" s="83" t="s">
        <v>41</v>
      </c>
      <c r="G182" s="86">
        <v>1</v>
      </c>
      <c r="H182" s="173">
        <v>11454981</v>
      </c>
      <c r="J182" s="59"/>
    </row>
    <row r="183" spans="1:10" x14ac:dyDescent="0.2">
      <c r="A183" s="83">
        <v>2</v>
      </c>
      <c r="B183" s="83">
        <v>66</v>
      </c>
      <c r="C183" s="362">
        <v>11583310</v>
      </c>
      <c r="D183" s="170">
        <v>175504.69696969696</v>
      </c>
      <c r="E183" s="83">
        <v>2</v>
      </c>
      <c r="F183" s="83" t="s">
        <v>41</v>
      </c>
      <c r="G183" s="86">
        <v>1</v>
      </c>
      <c r="H183" s="173">
        <v>11583310</v>
      </c>
    </row>
    <row r="184" spans="1:10" x14ac:dyDescent="0.2">
      <c r="A184" s="83">
        <v>2</v>
      </c>
      <c r="B184" s="83">
        <v>67</v>
      </c>
      <c r="C184" s="362">
        <v>11258780</v>
      </c>
      <c r="D184" s="170">
        <v>168041.49253731343</v>
      </c>
      <c r="E184" s="83">
        <v>2</v>
      </c>
      <c r="F184" s="83" t="s">
        <v>41</v>
      </c>
      <c r="G184" s="86">
        <v>1</v>
      </c>
      <c r="H184" s="173">
        <v>11258780</v>
      </c>
    </row>
    <row r="185" spans="1:10" x14ac:dyDescent="0.2">
      <c r="A185" s="83">
        <v>2</v>
      </c>
      <c r="B185" s="83">
        <v>68</v>
      </c>
      <c r="C185" s="362">
        <v>11209605</v>
      </c>
      <c r="D185" s="170">
        <v>164847.13235294117</v>
      </c>
      <c r="E185" s="83">
        <v>4</v>
      </c>
      <c r="F185" s="83" t="s">
        <v>41</v>
      </c>
      <c r="G185" s="86">
        <v>1</v>
      </c>
      <c r="H185" s="173">
        <v>11209605</v>
      </c>
    </row>
    <row r="186" spans="1:10" x14ac:dyDescent="0.2">
      <c r="A186" s="83">
        <v>2</v>
      </c>
      <c r="B186" s="83">
        <v>68</v>
      </c>
      <c r="C186" s="362">
        <v>10790175</v>
      </c>
      <c r="D186" s="170">
        <v>158679.04411764705</v>
      </c>
      <c r="E186" s="83">
        <v>2</v>
      </c>
      <c r="F186" s="83" t="s">
        <v>41</v>
      </c>
      <c r="G186" s="86">
        <v>1</v>
      </c>
      <c r="H186" s="173">
        <v>10790175</v>
      </c>
    </row>
    <row r="187" spans="1:10" x14ac:dyDescent="0.2">
      <c r="A187" s="83">
        <v>2</v>
      </c>
      <c r="B187" s="83">
        <v>68</v>
      </c>
      <c r="C187" s="362">
        <v>11054010</v>
      </c>
      <c r="D187" s="170">
        <v>162558.9705882353</v>
      </c>
      <c r="E187" s="83">
        <v>3</v>
      </c>
      <c r="F187" s="83" t="s">
        <v>41</v>
      </c>
      <c r="G187" s="86">
        <v>1</v>
      </c>
      <c r="H187" s="173">
        <v>11054010</v>
      </c>
    </row>
    <row r="188" spans="1:10" x14ac:dyDescent="0.2">
      <c r="A188" s="83">
        <v>2</v>
      </c>
      <c r="B188" s="83">
        <v>75</v>
      </c>
      <c r="C188" s="362">
        <v>12161664</v>
      </c>
      <c r="D188" s="170">
        <v>162155.51999999999</v>
      </c>
      <c r="E188" s="83">
        <v>2</v>
      </c>
      <c r="F188" s="83" t="s">
        <v>41</v>
      </c>
      <c r="G188" s="86">
        <v>1</v>
      </c>
      <c r="H188" s="173">
        <v>12161664</v>
      </c>
    </row>
    <row r="189" spans="1:10" x14ac:dyDescent="0.2">
      <c r="A189" s="83">
        <v>2</v>
      </c>
      <c r="B189" s="83">
        <v>75</v>
      </c>
      <c r="C189" s="362">
        <v>10559484</v>
      </c>
      <c r="D189" s="170">
        <v>140793.12</v>
      </c>
      <c r="E189" s="83">
        <v>6</v>
      </c>
      <c r="F189" s="83" t="s">
        <v>45</v>
      </c>
      <c r="G189" s="86">
        <v>1</v>
      </c>
      <c r="H189" s="173">
        <v>10559484</v>
      </c>
    </row>
    <row r="190" spans="1:10" x14ac:dyDescent="0.2">
      <c r="A190" s="83">
        <v>2</v>
      </c>
      <c r="B190" s="83">
        <v>75</v>
      </c>
      <c r="C190" s="362">
        <v>10127268</v>
      </c>
      <c r="D190" s="170">
        <v>135030.24</v>
      </c>
      <c r="E190" s="83">
        <v>5</v>
      </c>
      <c r="F190" s="83" t="s">
        <v>45</v>
      </c>
      <c r="G190" s="86">
        <v>1</v>
      </c>
      <c r="H190" s="173">
        <v>10127268</v>
      </c>
    </row>
    <row r="191" spans="1:10" x14ac:dyDescent="0.2">
      <c r="A191" s="83">
        <v>2</v>
      </c>
      <c r="B191" s="83">
        <v>77</v>
      </c>
      <c r="C191" s="362">
        <v>10388428</v>
      </c>
      <c r="D191" s="170">
        <v>134914.64935064936</v>
      </c>
      <c r="E191" s="83">
        <v>4</v>
      </c>
      <c r="F191" s="83" t="s">
        <v>45</v>
      </c>
      <c r="G191" s="86">
        <v>1</v>
      </c>
      <c r="H191" s="173">
        <v>10388428</v>
      </c>
    </row>
    <row r="192" spans="1:10" x14ac:dyDescent="0.2">
      <c r="A192" s="83">
        <v>3</v>
      </c>
      <c r="B192" s="83">
        <v>82</v>
      </c>
      <c r="C192" s="362">
        <v>9537646</v>
      </c>
      <c r="D192" s="170">
        <v>116312.75609756098</v>
      </c>
      <c r="E192" s="83">
        <v>2</v>
      </c>
      <c r="F192" s="83" t="s">
        <v>45</v>
      </c>
      <c r="G192" s="86">
        <v>1</v>
      </c>
      <c r="H192" s="173">
        <v>9537646</v>
      </c>
    </row>
    <row r="193" spans="1:8" x14ac:dyDescent="0.2">
      <c r="A193" s="83">
        <v>3</v>
      </c>
      <c r="B193" s="83">
        <v>82</v>
      </c>
      <c r="C193" s="362">
        <v>12273130</v>
      </c>
      <c r="D193" s="170">
        <v>149672.31707317074</v>
      </c>
      <c r="E193" s="83">
        <v>4</v>
      </c>
      <c r="F193" s="83" t="s">
        <v>41</v>
      </c>
      <c r="G193" s="86">
        <v>1</v>
      </c>
      <c r="H193" s="166">
        <v>12273130</v>
      </c>
    </row>
    <row r="194" spans="1:8" x14ac:dyDescent="0.2">
      <c r="A194" s="83">
        <v>3</v>
      </c>
      <c r="B194" s="83">
        <v>82</v>
      </c>
      <c r="C194" s="362">
        <v>12091916</v>
      </c>
      <c r="D194" s="170">
        <v>147462.39024390245</v>
      </c>
      <c r="E194" s="83">
        <v>3</v>
      </c>
      <c r="F194" s="83" t="s">
        <v>45</v>
      </c>
      <c r="G194" s="86">
        <v>1</v>
      </c>
      <c r="H194" s="166">
        <v>12091916</v>
      </c>
    </row>
    <row r="195" spans="1:8" x14ac:dyDescent="0.2">
      <c r="A195" s="83">
        <v>3</v>
      </c>
      <c r="B195" s="83">
        <v>82</v>
      </c>
      <c r="C195" s="362">
        <v>10965220</v>
      </c>
      <c r="D195" s="170">
        <v>133722.19512195123</v>
      </c>
      <c r="E195" s="83">
        <v>2</v>
      </c>
      <c r="F195" s="83" t="s">
        <v>45</v>
      </c>
      <c r="G195" s="86">
        <v>1</v>
      </c>
      <c r="H195" s="166">
        <v>10965220</v>
      </c>
    </row>
    <row r="196" spans="1:8" x14ac:dyDescent="0.2">
      <c r="A196" s="83">
        <v>3</v>
      </c>
      <c r="B196" s="83">
        <v>82</v>
      </c>
      <c r="C196" s="362">
        <v>11010597</v>
      </c>
      <c r="D196" s="170">
        <v>134275.57317073172</v>
      </c>
      <c r="E196" s="83">
        <v>3</v>
      </c>
      <c r="F196" s="83" t="s">
        <v>45</v>
      </c>
      <c r="G196" s="86">
        <v>1</v>
      </c>
      <c r="H196" s="166">
        <v>11010597</v>
      </c>
    </row>
    <row r="197" spans="1:8" x14ac:dyDescent="0.2">
      <c r="A197" s="83">
        <v>2</v>
      </c>
      <c r="B197" s="83">
        <v>83</v>
      </c>
      <c r="C197" s="362">
        <v>11714976</v>
      </c>
      <c r="D197" s="170">
        <v>141144.2891566265</v>
      </c>
      <c r="E197" s="83">
        <v>5</v>
      </c>
      <c r="F197" s="83" t="s">
        <v>45</v>
      </c>
      <c r="G197" s="86">
        <v>1</v>
      </c>
      <c r="H197" s="166">
        <v>11714976</v>
      </c>
    </row>
    <row r="198" spans="1:8" x14ac:dyDescent="0.2">
      <c r="A198" s="83">
        <v>2</v>
      </c>
      <c r="B198" s="83">
        <v>83</v>
      </c>
      <c r="C198" s="362">
        <v>11179620</v>
      </c>
      <c r="D198" s="170">
        <v>134694.21686746989</v>
      </c>
      <c r="E198" s="83">
        <v>6</v>
      </c>
      <c r="F198" s="83" t="s">
        <v>45</v>
      </c>
      <c r="G198" s="86">
        <v>1</v>
      </c>
      <c r="H198" s="166">
        <v>11179620</v>
      </c>
    </row>
    <row r="199" spans="1:8" x14ac:dyDescent="0.2">
      <c r="A199" s="83">
        <v>2</v>
      </c>
      <c r="B199" s="83">
        <v>83</v>
      </c>
      <c r="C199" s="362">
        <v>12257336</v>
      </c>
      <c r="D199" s="170">
        <v>147678.7469879518</v>
      </c>
      <c r="E199" s="83">
        <v>4</v>
      </c>
      <c r="F199" s="83" t="s">
        <v>45</v>
      </c>
      <c r="G199" s="86">
        <v>1</v>
      </c>
      <c r="H199" s="166">
        <v>12257336</v>
      </c>
    </row>
    <row r="200" spans="1:8" x14ac:dyDescent="0.2">
      <c r="A200" s="83">
        <v>2</v>
      </c>
      <c r="B200" s="83">
        <v>91</v>
      </c>
      <c r="C200" s="362">
        <v>12489603</v>
      </c>
      <c r="D200" s="170">
        <v>137248.38461538462</v>
      </c>
      <c r="E200" s="83">
        <v>2</v>
      </c>
      <c r="F200" s="83" t="s">
        <v>45</v>
      </c>
      <c r="G200" s="86">
        <v>1</v>
      </c>
      <c r="H200" s="166">
        <v>12489603</v>
      </c>
    </row>
    <row r="201" spans="1:8" x14ac:dyDescent="0.2">
      <c r="A201" s="271" t="s">
        <v>129</v>
      </c>
      <c r="B201" s="272"/>
      <c r="C201" s="272"/>
      <c r="D201" s="272"/>
      <c r="E201" s="272"/>
      <c r="F201" s="273"/>
      <c r="G201" s="231"/>
      <c r="H201" s="367"/>
    </row>
    <row r="202" spans="1:8" x14ac:dyDescent="0.2">
      <c r="A202" s="83" t="s">
        <v>6</v>
      </c>
      <c r="B202" s="83" t="s">
        <v>7</v>
      </c>
      <c r="C202" s="83" t="s">
        <v>8</v>
      </c>
      <c r="D202" s="170" t="s">
        <v>11</v>
      </c>
      <c r="E202" s="85" t="s">
        <v>10</v>
      </c>
      <c r="F202" s="83" t="s">
        <v>9</v>
      </c>
      <c r="G202" s="339" t="s">
        <v>31</v>
      </c>
      <c r="H202" s="166" t="s">
        <v>32</v>
      </c>
    </row>
    <row r="203" spans="1:8" x14ac:dyDescent="0.2">
      <c r="A203" s="83">
        <v>1</v>
      </c>
      <c r="B203" s="83">
        <v>27</v>
      </c>
      <c r="C203" s="87">
        <v>5880392</v>
      </c>
      <c r="D203" s="170">
        <v>217792.29629629629</v>
      </c>
      <c r="E203" s="85" t="s">
        <v>34</v>
      </c>
      <c r="F203" s="83" t="s">
        <v>41</v>
      </c>
      <c r="G203" s="171">
        <v>1</v>
      </c>
      <c r="H203" s="87">
        <v>5822768</v>
      </c>
    </row>
    <row r="204" spans="1:8" x14ac:dyDescent="0.2">
      <c r="A204" s="83">
        <v>1</v>
      </c>
      <c r="B204" s="83">
        <v>35</v>
      </c>
      <c r="C204" s="87">
        <v>7239431</v>
      </c>
      <c r="D204" s="170">
        <v>206840.88571428572</v>
      </c>
      <c r="E204" s="85" t="s">
        <v>14</v>
      </c>
      <c r="F204" s="83" t="s">
        <v>45</v>
      </c>
      <c r="G204" s="171">
        <v>1</v>
      </c>
      <c r="H204" s="87">
        <v>7169451</v>
      </c>
    </row>
    <row r="205" spans="1:8" x14ac:dyDescent="0.2">
      <c r="A205" s="83">
        <v>1</v>
      </c>
      <c r="B205" s="83">
        <v>35</v>
      </c>
      <c r="C205" s="87">
        <v>5762538</v>
      </c>
      <c r="D205" s="170">
        <v>164643.94285714286</v>
      </c>
      <c r="E205" s="85" t="s">
        <v>15</v>
      </c>
      <c r="F205" s="83" t="s">
        <v>45</v>
      </c>
      <c r="G205" s="171">
        <v>1</v>
      </c>
      <c r="H205" s="87">
        <v>5762538</v>
      </c>
    </row>
    <row r="206" spans="1:8" x14ac:dyDescent="0.2">
      <c r="A206" s="83">
        <v>1</v>
      </c>
      <c r="B206" s="83">
        <v>37</v>
      </c>
      <c r="C206" s="87">
        <v>7456950</v>
      </c>
      <c r="D206" s="170">
        <v>201539.1891891892</v>
      </c>
      <c r="E206" s="85" t="s">
        <v>17</v>
      </c>
      <c r="F206" s="83" t="s">
        <v>45</v>
      </c>
      <c r="G206" s="171">
        <v>1</v>
      </c>
      <c r="H206" s="87">
        <v>7383950</v>
      </c>
    </row>
    <row r="207" spans="1:8" x14ac:dyDescent="0.2">
      <c r="A207" s="83">
        <v>2</v>
      </c>
      <c r="B207" s="83">
        <v>40</v>
      </c>
      <c r="C207" s="87">
        <v>6678625</v>
      </c>
      <c r="D207" s="170">
        <v>166965.625</v>
      </c>
      <c r="E207" s="85" t="s">
        <v>15</v>
      </c>
      <c r="F207" s="83" t="s">
        <v>41</v>
      </c>
      <c r="G207" s="171">
        <v>1</v>
      </c>
      <c r="H207" s="173">
        <v>6678625</v>
      </c>
    </row>
    <row r="208" spans="1:8" x14ac:dyDescent="0.2">
      <c r="A208" s="83">
        <v>2</v>
      </c>
      <c r="B208" s="83">
        <v>41</v>
      </c>
      <c r="C208" s="87">
        <v>8088304</v>
      </c>
      <c r="D208" s="170">
        <v>197275.70731707316</v>
      </c>
      <c r="E208" s="85" t="s">
        <v>18</v>
      </c>
      <c r="F208" s="83" t="s">
        <v>41</v>
      </c>
      <c r="G208" s="171">
        <v>1</v>
      </c>
      <c r="H208" s="173">
        <v>8088304</v>
      </c>
    </row>
    <row r="209" spans="1:9" x14ac:dyDescent="0.2">
      <c r="A209" s="83">
        <v>2</v>
      </c>
      <c r="B209" s="83">
        <v>41</v>
      </c>
      <c r="C209" s="87">
        <v>8001952</v>
      </c>
      <c r="D209" s="170">
        <v>195169.56097560975</v>
      </c>
      <c r="E209" s="85" t="s">
        <v>14</v>
      </c>
      <c r="F209" s="83" t="s">
        <v>45</v>
      </c>
      <c r="G209" s="171">
        <v>1</v>
      </c>
      <c r="H209" s="173">
        <v>8001952</v>
      </c>
      <c r="I209"/>
    </row>
    <row r="210" spans="1:9" x14ac:dyDescent="0.2">
      <c r="A210" s="83">
        <v>2</v>
      </c>
      <c r="B210" s="83">
        <v>42</v>
      </c>
      <c r="C210" s="87">
        <v>8466255</v>
      </c>
      <c r="D210" s="170">
        <v>201577.5</v>
      </c>
      <c r="E210" s="85" t="s">
        <v>18</v>
      </c>
      <c r="F210" s="83" t="s">
        <v>41</v>
      </c>
      <c r="G210" s="171">
        <v>1</v>
      </c>
      <c r="H210" s="173">
        <v>8466255</v>
      </c>
      <c r="I210"/>
    </row>
    <row r="211" spans="1:9" x14ac:dyDescent="0.2">
      <c r="A211" s="83">
        <v>2</v>
      </c>
      <c r="B211" s="83">
        <v>42</v>
      </c>
      <c r="C211" s="87">
        <v>7365642</v>
      </c>
      <c r="D211" s="170">
        <v>175372.42857142858</v>
      </c>
      <c r="E211" s="85" t="s">
        <v>14</v>
      </c>
      <c r="F211" s="83" t="s">
        <v>41</v>
      </c>
      <c r="G211" s="171">
        <v>1</v>
      </c>
      <c r="H211" s="173">
        <v>7365642</v>
      </c>
      <c r="I211"/>
    </row>
    <row r="212" spans="1:9" x14ac:dyDescent="0.2">
      <c r="A212" s="83">
        <v>2</v>
      </c>
      <c r="B212" s="83">
        <v>44</v>
      </c>
      <c r="C212" s="87">
        <v>6792494</v>
      </c>
      <c r="D212" s="170">
        <v>154374.86363636365</v>
      </c>
      <c r="E212" s="83">
        <v>2</v>
      </c>
      <c r="F212" s="86" t="s">
        <v>41</v>
      </c>
      <c r="G212" s="172">
        <v>1</v>
      </c>
      <c r="H212" s="173">
        <v>6792494</v>
      </c>
      <c r="I212"/>
    </row>
    <row r="213" spans="1:9" x14ac:dyDescent="0.2">
      <c r="A213" s="83">
        <v>1</v>
      </c>
      <c r="B213" s="83">
        <v>44</v>
      </c>
      <c r="C213" s="87">
        <v>7647725</v>
      </c>
      <c r="D213" s="170">
        <v>173811.93181818182</v>
      </c>
      <c r="E213" s="83">
        <v>2</v>
      </c>
      <c r="F213" s="86" t="s">
        <v>45</v>
      </c>
      <c r="G213" s="172">
        <v>1</v>
      </c>
      <c r="H213" s="173">
        <v>7647725</v>
      </c>
      <c r="I213"/>
    </row>
    <row r="214" spans="1:9" x14ac:dyDescent="0.2">
      <c r="A214" s="83">
        <v>1</v>
      </c>
      <c r="B214" s="83">
        <v>44</v>
      </c>
      <c r="C214" s="87">
        <v>7217372</v>
      </c>
      <c r="D214" s="170">
        <v>164031.18181818182</v>
      </c>
      <c r="E214" s="83">
        <v>6</v>
      </c>
      <c r="F214" s="86" t="s">
        <v>45</v>
      </c>
      <c r="G214" s="172">
        <v>1</v>
      </c>
      <c r="H214" s="173">
        <v>7217372</v>
      </c>
    </row>
    <row r="215" spans="1:9" x14ac:dyDescent="0.2">
      <c r="A215" s="83">
        <v>2</v>
      </c>
      <c r="B215" s="83">
        <v>45</v>
      </c>
      <c r="C215" s="87">
        <v>6443329</v>
      </c>
      <c r="D215" s="170">
        <v>143185.08888888889</v>
      </c>
      <c r="E215" s="83">
        <v>3</v>
      </c>
      <c r="F215" s="86" t="s">
        <v>45</v>
      </c>
      <c r="G215" s="172">
        <v>1</v>
      </c>
      <c r="H215" s="173">
        <v>6443329</v>
      </c>
      <c r="I215"/>
    </row>
    <row r="216" spans="1:9" x14ac:dyDescent="0.2">
      <c r="A216" s="83">
        <v>1</v>
      </c>
      <c r="B216" s="83">
        <v>45</v>
      </c>
      <c r="C216" s="87">
        <v>9080040</v>
      </c>
      <c r="D216" s="170">
        <v>201778.66666666666</v>
      </c>
      <c r="E216" s="83">
        <v>2</v>
      </c>
      <c r="F216" s="86" t="s">
        <v>41</v>
      </c>
      <c r="G216" s="172">
        <v>1</v>
      </c>
      <c r="H216" s="173">
        <v>9080040</v>
      </c>
      <c r="I216"/>
    </row>
    <row r="217" spans="1:9" x14ac:dyDescent="0.2">
      <c r="A217" s="83">
        <v>1</v>
      </c>
      <c r="B217" s="83">
        <v>45</v>
      </c>
      <c r="C217" s="87">
        <v>7316842</v>
      </c>
      <c r="D217" s="170">
        <v>162596.48888888888</v>
      </c>
      <c r="E217" s="83">
        <v>4</v>
      </c>
      <c r="F217" s="86" t="s">
        <v>45</v>
      </c>
      <c r="G217" s="172">
        <v>1</v>
      </c>
      <c r="H217" s="173">
        <v>7316842</v>
      </c>
      <c r="I217"/>
    </row>
    <row r="218" spans="1:9" x14ac:dyDescent="0.2">
      <c r="A218" s="83">
        <v>2</v>
      </c>
      <c r="B218" s="83">
        <v>46</v>
      </c>
      <c r="C218" s="87">
        <v>9286200</v>
      </c>
      <c r="D218" s="170">
        <v>201873.91304347827</v>
      </c>
      <c r="E218" s="83">
        <v>4</v>
      </c>
      <c r="F218" s="86" t="s">
        <v>41</v>
      </c>
      <c r="G218" s="172">
        <v>1</v>
      </c>
      <c r="H218" s="173">
        <v>9286200</v>
      </c>
      <c r="I218"/>
    </row>
    <row r="219" spans="1:9" x14ac:dyDescent="0.2">
      <c r="A219" s="83">
        <v>1</v>
      </c>
      <c r="B219" s="83">
        <v>46</v>
      </c>
      <c r="C219" s="87">
        <v>7578450</v>
      </c>
      <c r="D219" s="170">
        <v>164748.91304347827</v>
      </c>
      <c r="E219" s="83">
        <v>7</v>
      </c>
      <c r="F219" s="86" t="s">
        <v>45</v>
      </c>
      <c r="G219" s="172">
        <v>1</v>
      </c>
      <c r="H219" s="173">
        <v>7578450</v>
      </c>
      <c r="I219"/>
    </row>
    <row r="220" spans="1:9" x14ac:dyDescent="0.2">
      <c r="A220" s="83">
        <v>1</v>
      </c>
      <c r="B220" s="83">
        <v>47</v>
      </c>
      <c r="C220" s="87">
        <v>7858675</v>
      </c>
      <c r="D220" s="170">
        <v>167205.85106382979</v>
      </c>
      <c r="E220" s="83">
        <v>3</v>
      </c>
      <c r="F220" s="86" t="s">
        <v>45</v>
      </c>
      <c r="G220" s="172">
        <v>1</v>
      </c>
      <c r="H220" s="173">
        <v>7858675</v>
      </c>
      <c r="I220"/>
    </row>
    <row r="221" spans="1:9" x14ac:dyDescent="0.2">
      <c r="A221" s="83">
        <v>2</v>
      </c>
      <c r="B221" s="83">
        <v>48</v>
      </c>
      <c r="C221" s="87">
        <v>9966165</v>
      </c>
      <c r="D221" s="170">
        <v>207628.4375</v>
      </c>
      <c r="E221" s="83">
        <v>6</v>
      </c>
      <c r="F221" s="86" t="s">
        <v>45</v>
      </c>
      <c r="G221" s="172">
        <v>1</v>
      </c>
      <c r="H221" s="173">
        <v>9966165</v>
      </c>
      <c r="I221"/>
    </row>
    <row r="222" spans="1:9" x14ac:dyDescent="0.2">
      <c r="A222" s="83">
        <v>2</v>
      </c>
      <c r="B222" s="83">
        <v>49</v>
      </c>
      <c r="C222" s="87">
        <v>10222190</v>
      </c>
      <c r="D222" s="170">
        <v>208616.12244897959</v>
      </c>
      <c r="E222" s="83">
        <v>4</v>
      </c>
      <c r="F222" s="86" t="s">
        <v>41</v>
      </c>
      <c r="G222" s="172">
        <v>1</v>
      </c>
      <c r="H222" s="173">
        <v>10222190</v>
      </c>
      <c r="I222"/>
    </row>
    <row r="223" spans="1:9" x14ac:dyDescent="0.2">
      <c r="A223" s="83">
        <v>2</v>
      </c>
      <c r="B223" s="83">
        <v>55</v>
      </c>
      <c r="C223" s="87">
        <v>9504837</v>
      </c>
      <c r="D223" s="170">
        <v>172815.21818181817</v>
      </c>
      <c r="E223" s="83">
        <v>1</v>
      </c>
      <c r="F223" s="86" t="s">
        <v>41</v>
      </c>
      <c r="G223" s="172">
        <v>1</v>
      </c>
      <c r="H223" s="173">
        <v>9504837</v>
      </c>
      <c r="I223"/>
    </row>
    <row r="224" spans="1:9" x14ac:dyDescent="0.2">
      <c r="A224" s="83">
        <v>2</v>
      </c>
      <c r="B224" s="83">
        <v>56</v>
      </c>
      <c r="C224" s="87">
        <v>11223508</v>
      </c>
      <c r="D224" s="170">
        <v>200419.78571428571</v>
      </c>
      <c r="E224" s="83">
        <v>3</v>
      </c>
      <c r="F224" s="86" t="s">
        <v>41</v>
      </c>
      <c r="G224" s="172">
        <v>1</v>
      </c>
      <c r="H224" s="173">
        <v>11223508</v>
      </c>
      <c r="I224"/>
    </row>
    <row r="225" spans="1:9" x14ac:dyDescent="0.2">
      <c r="A225" s="83">
        <v>2</v>
      </c>
      <c r="B225" s="83">
        <v>58</v>
      </c>
      <c r="C225" s="87">
        <v>9248616</v>
      </c>
      <c r="D225" s="170">
        <v>159458.89655172414</v>
      </c>
      <c r="E225" s="83">
        <v>6</v>
      </c>
      <c r="F225" s="86" t="s">
        <v>45</v>
      </c>
      <c r="G225" s="172">
        <v>1</v>
      </c>
      <c r="H225" s="173">
        <v>9248616</v>
      </c>
      <c r="I225"/>
    </row>
    <row r="226" spans="1:9" x14ac:dyDescent="0.2">
      <c r="A226" s="83">
        <v>2</v>
      </c>
      <c r="B226" s="83">
        <v>61</v>
      </c>
      <c r="C226" s="170">
        <v>9816029</v>
      </c>
      <c r="D226" s="170">
        <v>160918.50819672132</v>
      </c>
      <c r="E226" s="83">
        <v>1</v>
      </c>
      <c r="F226" s="86" t="s">
        <v>45</v>
      </c>
      <c r="G226" s="172">
        <v>1</v>
      </c>
      <c r="H226" s="173">
        <v>9816029</v>
      </c>
      <c r="I226"/>
    </row>
    <row r="227" spans="1:9" x14ac:dyDescent="0.2">
      <c r="A227" s="83">
        <v>3</v>
      </c>
      <c r="B227" s="83">
        <v>63</v>
      </c>
      <c r="C227" s="87">
        <v>12001500</v>
      </c>
      <c r="D227" s="170">
        <v>190500</v>
      </c>
      <c r="E227" s="83">
        <v>3</v>
      </c>
      <c r="F227" s="86" t="s">
        <v>41</v>
      </c>
      <c r="G227" s="172">
        <v>1</v>
      </c>
      <c r="H227" s="173">
        <v>12001500</v>
      </c>
      <c r="I227"/>
    </row>
    <row r="228" spans="1:9" x14ac:dyDescent="0.2">
      <c r="A228" s="83">
        <v>2</v>
      </c>
      <c r="B228" s="83">
        <v>64</v>
      </c>
      <c r="C228" s="170">
        <v>9751131</v>
      </c>
      <c r="D228" s="170">
        <v>152361.421875</v>
      </c>
      <c r="E228" s="83">
        <v>5</v>
      </c>
      <c r="F228" s="86" t="s">
        <v>45</v>
      </c>
      <c r="G228" s="172">
        <v>1</v>
      </c>
      <c r="H228" s="173">
        <v>9751131</v>
      </c>
      <c r="I228"/>
    </row>
    <row r="229" spans="1:9" x14ac:dyDescent="0.2">
      <c r="A229" s="83">
        <v>2</v>
      </c>
      <c r="B229" s="83">
        <v>64</v>
      </c>
      <c r="C229" s="170">
        <v>10135642</v>
      </c>
      <c r="D229" s="170">
        <v>158369.40625</v>
      </c>
      <c r="E229" s="83">
        <v>1</v>
      </c>
      <c r="F229" s="86" t="s">
        <v>41</v>
      </c>
      <c r="G229" s="172">
        <v>1</v>
      </c>
      <c r="H229" s="173">
        <v>10135642</v>
      </c>
      <c r="I229"/>
    </row>
    <row r="230" spans="1:9" x14ac:dyDescent="0.2">
      <c r="A230" s="83">
        <v>2</v>
      </c>
      <c r="B230" s="83">
        <v>64</v>
      </c>
      <c r="C230" s="170">
        <v>11901050</v>
      </c>
      <c r="D230" s="170">
        <v>185953.90625</v>
      </c>
      <c r="E230" s="83">
        <v>2</v>
      </c>
      <c r="F230" s="86" t="s">
        <v>45</v>
      </c>
      <c r="G230" s="172">
        <v>1</v>
      </c>
      <c r="H230" s="173">
        <v>11901050</v>
      </c>
      <c r="I230"/>
    </row>
    <row r="231" spans="1:9" x14ac:dyDescent="0.2">
      <c r="A231" s="83">
        <v>2</v>
      </c>
      <c r="B231" s="83">
        <v>64</v>
      </c>
      <c r="C231" s="170">
        <v>9860118</v>
      </c>
      <c r="D231" s="170">
        <v>154064.34375</v>
      </c>
      <c r="E231" s="83">
        <v>6</v>
      </c>
      <c r="F231" s="86" t="s">
        <v>45</v>
      </c>
      <c r="G231" s="172">
        <v>1</v>
      </c>
      <c r="H231" s="173">
        <v>9860118</v>
      </c>
      <c r="I231"/>
    </row>
    <row r="232" spans="1:9" x14ac:dyDescent="0.2">
      <c r="A232" s="83">
        <v>2</v>
      </c>
      <c r="B232" s="83">
        <v>64</v>
      </c>
      <c r="C232" s="170">
        <v>9751131</v>
      </c>
      <c r="D232" s="170">
        <v>152361.421875</v>
      </c>
      <c r="E232" s="83">
        <v>4</v>
      </c>
      <c r="F232" s="86" t="s">
        <v>45</v>
      </c>
      <c r="G232" s="172">
        <v>1</v>
      </c>
      <c r="H232" s="173">
        <v>9751131</v>
      </c>
      <c r="I232"/>
    </row>
    <row r="233" spans="1:9" x14ac:dyDescent="0.2">
      <c r="A233" s="83">
        <v>3</v>
      </c>
      <c r="B233" s="83">
        <v>65</v>
      </c>
      <c r="C233" s="87">
        <v>8207962</v>
      </c>
      <c r="D233" s="170">
        <v>126276.33846153846</v>
      </c>
      <c r="E233" s="83">
        <v>3</v>
      </c>
      <c r="F233" s="86" t="s">
        <v>45</v>
      </c>
      <c r="G233" s="172">
        <v>1</v>
      </c>
      <c r="H233" s="173">
        <v>8207962</v>
      </c>
      <c r="I233"/>
    </row>
    <row r="234" spans="1:9" x14ac:dyDescent="0.2">
      <c r="A234" s="83">
        <v>3</v>
      </c>
      <c r="B234" s="83">
        <v>66</v>
      </c>
      <c r="C234" s="87">
        <v>9536176</v>
      </c>
      <c r="D234" s="170">
        <v>144487.51515151514</v>
      </c>
      <c r="E234" s="83">
        <v>2</v>
      </c>
      <c r="F234" s="86" t="s">
        <v>45</v>
      </c>
      <c r="G234" s="172">
        <v>1</v>
      </c>
      <c r="H234" s="173">
        <v>9536176</v>
      </c>
      <c r="I234"/>
    </row>
    <row r="235" spans="1:9" x14ac:dyDescent="0.2">
      <c r="A235" s="83">
        <v>3</v>
      </c>
      <c r="B235" s="83">
        <v>66</v>
      </c>
      <c r="C235" s="87">
        <v>9450102</v>
      </c>
      <c r="D235" s="170">
        <v>143183.36363636365</v>
      </c>
      <c r="E235" s="83">
        <v>2</v>
      </c>
      <c r="F235" s="86" t="s">
        <v>45</v>
      </c>
      <c r="G235" s="172">
        <v>1</v>
      </c>
      <c r="H235" s="173">
        <v>9450102</v>
      </c>
      <c r="I235"/>
    </row>
    <row r="236" spans="1:9" x14ac:dyDescent="0.2">
      <c r="A236" s="83">
        <v>2</v>
      </c>
      <c r="B236" s="83">
        <v>66</v>
      </c>
      <c r="C236" s="87">
        <v>12053340</v>
      </c>
      <c r="D236" s="170">
        <v>182626.36363636365</v>
      </c>
      <c r="E236" s="83">
        <v>4</v>
      </c>
      <c r="F236" s="86" t="s">
        <v>41</v>
      </c>
      <c r="G236" s="172">
        <v>1</v>
      </c>
      <c r="H236" s="173">
        <v>12053340</v>
      </c>
      <c r="I236"/>
    </row>
    <row r="237" spans="1:9" x14ac:dyDescent="0.2">
      <c r="A237" s="83">
        <v>2</v>
      </c>
      <c r="B237" s="83">
        <v>68</v>
      </c>
      <c r="C237" s="87">
        <v>9319140</v>
      </c>
      <c r="D237" s="170">
        <v>137046.17647058822</v>
      </c>
      <c r="E237" s="83">
        <v>2</v>
      </c>
      <c r="F237" s="86" t="s">
        <v>45</v>
      </c>
      <c r="G237" s="172">
        <v>1</v>
      </c>
      <c r="H237" s="173">
        <v>9319140</v>
      </c>
      <c r="I237"/>
    </row>
    <row r="238" spans="1:9" x14ac:dyDescent="0.2">
      <c r="A238" s="83">
        <v>2</v>
      </c>
      <c r="B238" s="83">
        <v>68</v>
      </c>
      <c r="C238" s="87">
        <v>9806350</v>
      </c>
      <c r="D238" s="170">
        <v>144211.0294117647</v>
      </c>
      <c r="E238" s="83">
        <v>4</v>
      </c>
      <c r="F238" s="86" t="s">
        <v>45</v>
      </c>
      <c r="G238" s="172">
        <v>1</v>
      </c>
      <c r="H238" s="173">
        <v>9806350</v>
      </c>
      <c r="I238"/>
    </row>
    <row r="239" spans="1:9" x14ac:dyDescent="0.2">
      <c r="A239" s="83">
        <v>3</v>
      </c>
      <c r="B239" s="83">
        <v>70</v>
      </c>
      <c r="C239" s="87">
        <v>10105329</v>
      </c>
      <c r="D239" s="170">
        <v>144361.84285714285</v>
      </c>
      <c r="E239" s="83">
        <v>4</v>
      </c>
      <c r="F239" s="86" t="s">
        <v>45</v>
      </c>
      <c r="G239" s="172">
        <v>1</v>
      </c>
      <c r="H239" s="173">
        <v>10105329</v>
      </c>
      <c r="I239"/>
    </row>
    <row r="240" spans="1:9" x14ac:dyDescent="0.2">
      <c r="A240" s="83">
        <v>3</v>
      </c>
      <c r="B240" s="83">
        <v>83</v>
      </c>
      <c r="C240" s="87">
        <v>11389170</v>
      </c>
      <c r="D240" s="170">
        <v>137218.9156626506</v>
      </c>
      <c r="E240" s="83">
        <v>2</v>
      </c>
      <c r="F240" s="86" t="s">
        <v>45</v>
      </c>
      <c r="G240" s="172">
        <v>1</v>
      </c>
      <c r="H240" s="173">
        <v>11389170</v>
      </c>
      <c r="I240"/>
    </row>
    <row r="241" spans="1:9" s="98" customFormat="1" x14ac:dyDescent="0.2">
      <c r="A241" s="83">
        <v>3</v>
      </c>
      <c r="B241" s="83">
        <v>85</v>
      </c>
      <c r="C241" s="87">
        <v>12231360</v>
      </c>
      <c r="D241" s="170">
        <v>143898.35294117648</v>
      </c>
      <c r="E241" s="83">
        <v>4</v>
      </c>
      <c r="F241" s="86" t="s">
        <v>45</v>
      </c>
      <c r="G241" s="172">
        <v>1</v>
      </c>
      <c r="H241" s="166">
        <v>12231360</v>
      </c>
    </row>
    <row r="242" spans="1:9" s="98" customFormat="1" x14ac:dyDescent="0.2">
      <c r="A242" s="83">
        <v>3</v>
      </c>
      <c r="B242" s="83">
        <v>85</v>
      </c>
      <c r="C242" s="87">
        <v>14635162</v>
      </c>
      <c r="D242" s="170">
        <v>172178.37647058823</v>
      </c>
      <c r="E242" s="83">
        <v>8</v>
      </c>
      <c r="F242" s="86" t="s">
        <v>45</v>
      </c>
      <c r="G242" s="172">
        <v>1</v>
      </c>
      <c r="H242" s="166">
        <v>14635162</v>
      </c>
    </row>
    <row r="243" spans="1:9" s="98" customFormat="1" x14ac:dyDescent="0.2">
      <c r="A243" s="83">
        <v>3</v>
      </c>
      <c r="B243" s="83">
        <v>89</v>
      </c>
      <c r="C243" s="87">
        <v>12148431</v>
      </c>
      <c r="D243" s="170">
        <v>136499.22471910113</v>
      </c>
      <c r="E243" s="83">
        <v>3</v>
      </c>
      <c r="F243" s="86" t="s">
        <v>45</v>
      </c>
      <c r="G243" s="172">
        <v>1</v>
      </c>
      <c r="H243" s="166">
        <v>12148431</v>
      </c>
    </row>
    <row r="244" spans="1:9" x14ac:dyDescent="0.2">
      <c r="A244" s="83">
        <v>3</v>
      </c>
      <c r="B244" s="83">
        <v>89</v>
      </c>
      <c r="C244" s="87">
        <v>12361095</v>
      </c>
      <c r="D244" s="170">
        <v>138888.70786516854</v>
      </c>
      <c r="E244" s="83">
        <v>4</v>
      </c>
      <c r="F244" s="86" t="s">
        <v>45</v>
      </c>
      <c r="G244" s="172">
        <v>1</v>
      </c>
      <c r="H244" s="166">
        <v>12361095</v>
      </c>
      <c r="I244"/>
    </row>
    <row r="245" spans="1:9" x14ac:dyDescent="0.2">
      <c r="A245" s="271" t="s">
        <v>326</v>
      </c>
      <c r="B245" s="272"/>
      <c r="C245" s="272"/>
      <c r="D245" s="272"/>
      <c r="E245" s="272"/>
      <c r="F245" s="273"/>
      <c r="G245" s="231"/>
      <c r="H245" s="367"/>
      <c r="I245"/>
    </row>
    <row r="246" spans="1:9" x14ac:dyDescent="0.2">
      <c r="A246" s="83" t="s">
        <v>6</v>
      </c>
      <c r="B246" s="83" t="s">
        <v>7</v>
      </c>
      <c r="C246" s="83" t="s">
        <v>8</v>
      </c>
      <c r="D246" s="170" t="s">
        <v>11</v>
      </c>
      <c r="E246" s="85" t="s">
        <v>10</v>
      </c>
      <c r="F246" s="83" t="s">
        <v>9</v>
      </c>
      <c r="G246" s="339" t="s">
        <v>31</v>
      </c>
      <c r="H246" s="166" t="s">
        <v>32</v>
      </c>
      <c r="I246"/>
    </row>
    <row r="247" spans="1:9" x14ac:dyDescent="0.2">
      <c r="A247" s="83">
        <v>1</v>
      </c>
      <c r="B247" s="83">
        <v>40</v>
      </c>
      <c r="C247" s="87">
        <v>7493532</v>
      </c>
      <c r="D247" s="170">
        <v>187338.3</v>
      </c>
      <c r="E247" s="85" t="s">
        <v>34</v>
      </c>
      <c r="F247" s="83" t="s">
        <v>45</v>
      </c>
      <c r="G247" s="171">
        <v>1</v>
      </c>
      <c r="H247" s="87">
        <v>7420740</v>
      </c>
      <c r="I247"/>
    </row>
    <row r="248" spans="1:9" x14ac:dyDescent="0.2">
      <c r="A248" s="83">
        <v>1</v>
      </c>
      <c r="B248" s="83">
        <v>41</v>
      </c>
      <c r="C248" s="87">
        <v>6795430</v>
      </c>
      <c r="D248" s="170">
        <v>165742.19512195123</v>
      </c>
      <c r="E248" s="85" t="s">
        <v>30</v>
      </c>
      <c r="F248" s="83" t="s">
        <v>45</v>
      </c>
      <c r="G248" s="171">
        <v>1</v>
      </c>
      <c r="H248" s="87">
        <v>6729734</v>
      </c>
      <c r="I248"/>
    </row>
    <row r="249" spans="1:9" x14ac:dyDescent="0.2">
      <c r="A249" s="83">
        <v>1</v>
      </c>
      <c r="B249" s="83">
        <v>43</v>
      </c>
      <c r="C249" s="87">
        <v>7969689</v>
      </c>
      <c r="D249" s="170">
        <v>185341.60465116278</v>
      </c>
      <c r="E249" s="85" t="s">
        <v>28</v>
      </c>
      <c r="F249" s="83" t="s">
        <v>45</v>
      </c>
      <c r="G249" s="171">
        <v>1</v>
      </c>
      <c r="H249" s="87">
        <v>7891767</v>
      </c>
      <c r="I249"/>
    </row>
    <row r="250" spans="1:9" x14ac:dyDescent="0.2">
      <c r="A250" s="83">
        <v>1</v>
      </c>
      <c r="B250" s="83">
        <v>45</v>
      </c>
      <c r="C250" s="87">
        <v>8353710</v>
      </c>
      <c r="D250" s="170">
        <v>185638</v>
      </c>
      <c r="E250" s="83">
        <v>4</v>
      </c>
      <c r="F250" s="86" t="s">
        <v>41</v>
      </c>
      <c r="G250" s="172">
        <v>1</v>
      </c>
      <c r="H250" s="173">
        <v>8353710</v>
      </c>
      <c r="I250"/>
    </row>
    <row r="251" spans="1:9" x14ac:dyDescent="0.2">
      <c r="A251" s="83">
        <v>1</v>
      </c>
      <c r="B251" s="83">
        <v>47</v>
      </c>
      <c r="C251" s="87">
        <v>8587864</v>
      </c>
      <c r="D251" s="170">
        <v>182720.51063829788</v>
      </c>
      <c r="E251" s="83">
        <v>11</v>
      </c>
      <c r="F251" s="86" t="s">
        <v>41</v>
      </c>
      <c r="G251" s="172">
        <v>1</v>
      </c>
      <c r="H251" s="173">
        <v>8587864</v>
      </c>
      <c r="I251"/>
    </row>
    <row r="252" spans="1:9" x14ac:dyDescent="0.2">
      <c r="A252" s="83">
        <v>2</v>
      </c>
      <c r="B252" s="83">
        <v>47</v>
      </c>
      <c r="C252" s="87">
        <v>8587864</v>
      </c>
      <c r="D252" s="170">
        <v>182720.51063829788</v>
      </c>
      <c r="E252" s="83">
        <v>9</v>
      </c>
      <c r="F252" s="86" t="s">
        <v>41</v>
      </c>
      <c r="G252" s="172">
        <v>1</v>
      </c>
      <c r="H252" s="173">
        <v>8587864</v>
      </c>
      <c r="I252"/>
    </row>
    <row r="253" spans="1:9" x14ac:dyDescent="0.2">
      <c r="A253" s="83">
        <v>1</v>
      </c>
      <c r="B253" s="83">
        <v>47</v>
      </c>
      <c r="C253" s="87">
        <v>6842706</v>
      </c>
      <c r="D253" s="170">
        <v>145589.48936170212</v>
      </c>
      <c r="E253" s="83">
        <v>6</v>
      </c>
      <c r="F253" s="86" t="s">
        <v>45</v>
      </c>
      <c r="G253" s="172">
        <v>1</v>
      </c>
      <c r="H253" s="87">
        <v>6776318</v>
      </c>
      <c r="I253"/>
    </row>
    <row r="254" spans="1:9" x14ac:dyDescent="0.2">
      <c r="A254" s="83">
        <v>1</v>
      </c>
      <c r="B254" s="83">
        <v>47</v>
      </c>
      <c r="C254" s="87">
        <v>6460784</v>
      </c>
      <c r="D254" s="170">
        <v>137463.48936170212</v>
      </c>
      <c r="E254" s="83">
        <v>3</v>
      </c>
      <c r="F254" s="86" t="s">
        <v>45</v>
      </c>
      <c r="G254" s="172">
        <v>1</v>
      </c>
      <c r="H254" s="87">
        <v>7351740</v>
      </c>
      <c r="I254"/>
    </row>
    <row r="255" spans="1:9" x14ac:dyDescent="0.2">
      <c r="A255" s="83">
        <v>1</v>
      </c>
      <c r="B255" s="83">
        <v>47</v>
      </c>
      <c r="C255" s="87">
        <v>6842706</v>
      </c>
      <c r="D255" s="170">
        <v>145589.48936170212</v>
      </c>
      <c r="E255" s="83">
        <v>7</v>
      </c>
      <c r="F255" s="86" t="s">
        <v>45</v>
      </c>
      <c r="G255" s="172">
        <v>1</v>
      </c>
      <c r="H255" s="87">
        <v>6842706</v>
      </c>
      <c r="I255"/>
    </row>
    <row r="256" spans="1:9" x14ac:dyDescent="0.2">
      <c r="A256" s="83">
        <v>1</v>
      </c>
      <c r="B256" s="83">
        <v>46</v>
      </c>
      <c r="C256" s="87">
        <v>7178977</v>
      </c>
      <c r="D256" s="170">
        <v>156064.71739130435</v>
      </c>
      <c r="E256" s="83">
        <v>2</v>
      </c>
      <c r="F256" s="86" t="s">
        <v>45</v>
      </c>
      <c r="G256" s="172">
        <v>1</v>
      </c>
      <c r="H256" s="173">
        <v>7178977</v>
      </c>
      <c r="I256"/>
    </row>
    <row r="257" spans="1:9" x14ac:dyDescent="0.2">
      <c r="A257" s="83">
        <v>1</v>
      </c>
      <c r="B257" s="83">
        <v>46</v>
      </c>
      <c r="C257" s="87">
        <v>8349159</v>
      </c>
      <c r="D257" s="170">
        <v>181503.45652173914</v>
      </c>
      <c r="E257" s="83">
        <v>4</v>
      </c>
      <c r="F257" s="86" t="s">
        <v>45</v>
      </c>
      <c r="G257" s="172">
        <v>1</v>
      </c>
      <c r="H257" s="173">
        <v>8349159</v>
      </c>
      <c r="I257"/>
    </row>
    <row r="258" spans="1:9" x14ac:dyDescent="0.2">
      <c r="A258" s="83">
        <v>1</v>
      </c>
      <c r="B258" s="83">
        <v>46</v>
      </c>
      <c r="C258" s="87">
        <v>8428056</v>
      </c>
      <c r="D258" s="170">
        <v>183218.60869565216</v>
      </c>
      <c r="E258" s="83">
        <v>6</v>
      </c>
      <c r="F258" s="86" t="s">
        <v>41</v>
      </c>
      <c r="G258" s="172">
        <v>1</v>
      </c>
      <c r="H258" s="173">
        <v>8428056</v>
      </c>
      <c r="I258"/>
    </row>
    <row r="259" spans="1:9" x14ac:dyDescent="0.2">
      <c r="A259" s="83">
        <v>2</v>
      </c>
      <c r="B259" s="83">
        <v>46</v>
      </c>
      <c r="C259" s="87">
        <v>7083625</v>
      </c>
      <c r="D259" s="170">
        <v>153991.84782608695</v>
      </c>
      <c r="E259" s="83">
        <v>5</v>
      </c>
      <c r="F259" s="86" t="s">
        <v>45</v>
      </c>
      <c r="G259" s="172">
        <v>1</v>
      </c>
      <c r="H259" s="173">
        <v>7083625</v>
      </c>
      <c r="I259"/>
    </row>
    <row r="260" spans="1:9" x14ac:dyDescent="0.2">
      <c r="A260" s="83">
        <v>1</v>
      </c>
      <c r="B260" s="83">
        <v>48</v>
      </c>
      <c r="C260" s="87">
        <v>7622496</v>
      </c>
      <c r="D260" s="170">
        <v>158802</v>
      </c>
      <c r="E260" s="83">
        <v>2</v>
      </c>
      <c r="F260" s="86" t="s">
        <v>45</v>
      </c>
      <c r="G260" s="172">
        <v>1</v>
      </c>
      <c r="H260" s="173">
        <v>7622496</v>
      </c>
      <c r="I260"/>
    </row>
    <row r="261" spans="1:9" x14ac:dyDescent="0.2">
      <c r="A261" s="83">
        <v>2</v>
      </c>
      <c r="B261" s="83">
        <v>53</v>
      </c>
      <c r="C261" s="87">
        <v>9212850</v>
      </c>
      <c r="D261" s="170">
        <v>173827.35849056602</v>
      </c>
      <c r="E261" s="83">
        <v>11</v>
      </c>
      <c r="F261" s="86" t="s">
        <v>41</v>
      </c>
      <c r="G261" s="172">
        <v>1</v>
      </c>
      <c r="H261" s="173">
        <v>9212850</v>
      </c>
      <c r="I261"/>
    </row>
    <row r="262" spans="1:9" x14ac:dyDescent="0.2">
      <c r="A262" s="83">
        <v>2</v>
      </c>
      <c r="B262" s="83">
        <v>57</v>
      </c>
      <c r="C262" s="87">
        <v>8713054</v>
      </c>
      <c r="D262" s="170">
        <v>152860.59649122806</v>
      </c>
      <c r="E262" s="170">
        <v>3</v>
      </c>
      <c r="F262" s="86" t="s">
        <v>41</v>
      </c>
      <c r="G262" s="172">
        <v>1</v>
      </c>
      <c r="H262" s="173">
        <v>8713054</v>
      </c>
      <c r="I262"/>
    </row>
    <row r="263" spans="1:9" x14ac:dyDescent="0.2">
      <c r="A263" s="83">
        <v>2</v>
      </c>
      <c r="B263" s="83">
        <v>57</v>
      </c>
      <c r="C263" s="87">
        <v>10145070</v>
      </c>
      <c r="D263" s="170">
        <v>177983.68421052632</v>
      </c>
      <c r="E263" s="170">
        <v>4</v>
      </c>
      <c r="F263" s="86" t="s">
        <v>41</v>
      </c>
      <c r="G263" s="172">
        <v>1</v>
      </c>
      <c r="H263" s="173">
        <v>10145070</v>
      </c>
      <c r="I263"/>
    </row>
    <row r="264" spans="1:9" x14ac:dyDescent="0.2">
      <c r="A264" s="83">
        <v>2</v>
      </c>
      <c r="B264" s="83">
        <v>57</v>
      </c>
      <c r="C264" s="87">
        <v>8102182</v>
      </c>
      <c r="D264" s="170">
        <v>142143.54385964913</v>
      </c>
      <c r="E264" s="170">
        <v>8</v>
      </c>
      <c r="F264" s="86" t="s">
        <v>45</v>
      </c>
      <c r="G264" s="172">
        <v>1</v>
      </c>
      <c r="H264" s="173">
        <v>8102182</v>
      </c>
      <c r="I264"/>
    </row>
    <row r="265" spans="1:9" x14ac:dyDescent="0.2">
      <c r="A265" s="83">
        <v>2</v>
      </c>
      <c r="B265" s="83">
        <v>57</v>
      </c>
      <c r="C265" s="87">
        <v>7966486</v>
      </c>
      <c r="D265" s="170">
        <v>139762.91228070174</v>
      </c>
      <c r="E265" s="170">
        <v>6</v>
      </c>
      <c r="F265" s="86" t="s">
        <v>45</v>
      </c>
      <c r="G265" s="172">
        <v>1</v>
      </c>
      <c r="H265" s="173">
        <v>7966486</v>
      </c>
      <c r="I265"/>
    </row>
    <row r="266" spans="1:9" x14ac:dyDescent="0.2">
      <c r="A266" s="83">
        <v>2</v>
      </c>
      <c r="B266" s="83">
        <v>61</v>
      </c>
      <c r="C266" s="87">
        <v>9218207</v>
      </c>
      <c r="D266" s="170">
        <v>151118.1475409836</v>
      </c>
      <c r="E266" s="170">
        <v>3</v>
      </c>
      <c r="F266" s="86" t="s">
        <v>41</v>
      </c>
      <c r="G266" s="172">
        <v>1</v>
      </c>
      <c r="H266" s="173">
        <v>9218207</v>
      </c>
      <c r="I266"/>
    </row>
    <row r="267" spans="1:9" x14ac:dyDescent="0.2">
      <c r="A267" s="83">
        <v>2</v>
      </c>
      <c r="B267" s="83">
        <v>61</v>
      </c>
      <c r="C267" s="87">
        <v>10717080</v>
      </c>
      <c r="D267" s="170">
        <v>175689.83606557376</v>
      </c>
      <c r="E267" s="170">
        <v>4</v>
      </c>
      <c r="F267" s="86" t="s">
        <v>41</v>
      </c>
      <c r="G267" s="172">
        <v>1</v>
      </c>
      <c r="H267" s="173">
        <v>10717080</v>
      </c>
      <c r="I267"/>
    </row>
    <row r="268" spans="1:9" x14ac:dyDescent="0.2">
      <c r="A268" s="83">
        <v>2</v>
      </c>
      <c r="B268" s="83">
        <v>61</v>
      </c>
      <c r="C268" s="87">
        <v>8929953</v>
      </c>
      <c r="D268" s="170">
        <v>146392.67213114753</v>
      </c>
      <c r="E268" s="170">
        <v>9</v>
      </c>
      <c r="F268" s="86" t="s">
        <v>45</v>
      </c>
      <c r="G268" s="172">
        <v>1</v>
      </c>
      <c r="H268" s="173">
        <v>8929953</v>
      </c>
      <c r="I268"/>
    </row>
    <row r="269" spans="1:9" x14ac:dyDescent="0.2">
      <c r="A269" s="83">
        <v>2</v>
      </c>
      <c r="B269" s="83">
        <v>61</v>
      </c>
      <c r="C269" s="87">
        <v>8788986</v>
      </c>
      <c r="D269" s="170">
        <v>144081.73770491802</v>
      </c>
      <c r="E269" s="170">
        <v>6</v>
      </c>
      <c r="F269" s="86" t="s">
        <v>45</v>
      </c>
      <c r="G269" s="172">
        <v>1</v>
      </c>
      <c r="H269" s="173">
        <v>8788986</v>
      </c>
      <c r="I269"/>
    </row>
    <row r="270" spans="1:9" x14ac:dyDescent="0.2">
      <c r="A270" s="83">
        <v>3</v>
      </c>
      <c r="B270" s="83">
        <v>62</v>
      </c>
      <c r="C270" s="87">
        <v>8831015</v>
      </c>
      <c r="D270" s="170">
        <v>142435.72580645161</v>
      </c>
      <c r="E270" s="170">
        <v>3</v>
      </c>
      <c r="F270" s="86" t="s">
        <v>45</v>
      </c>
      <c r="G270" s="172">
        <v>1</v>
      </c>
      <c r="H270" s="173">
        <v>8831015</v>
      </c>
      <c r="I270"/>
    </row>
    <row r="271" spans="1:9" x14ac:dyDescent="0.2">
      <c r="A271" s="83">
        <v>2</v>
      </c>
      <c r="B271" s="83">
        <v>65</v>
      </c>
      <c r="C271" s="87">
        <v>9561243</v>
      </c>
      <c r="D271" s="170">
        <v>147096.04615384617</v>
      </c>
      <c r="E271" s="83">
        <v>7</v>
      </c>
      <c r="F271" s="86" t="s">
        <v>45</v>
      </c>
      <c r="G271" s="172">
        <v>1</v>
      </c>
      <c r="H271" s="173">
        <v>9561243</v>
      </c>
      <c r="I271"/>
    </row>
    <row r="272" spans="1:9" x14ac:dyDescent="0.2">
      <c r="A272" s="83">
        <v>2</v>
      </c>
      <c r="B272" s="83">
        <v>65</v>
      </c>
      <c r="C272" s="87">
        <v>9321076</v>
      </c>
      <c r="D272" s="170">
        <v>143401.16923076924</v>
      </c>
      <c r="E272" s="83">
        <v>5</v>
      </c>
      <c r="F272" s="86" t="s">
        <v>45</v>
      </c>
      <c r="G272" s="172">
        <v>1</v>
      </c>
      <c r="H272" s="173">
        <v>9321076</v>
      </c>
      <c r="I272"/>
    </row>
    <row r="273" spans="1:9" x14ac:dyDescent="0.2">
      <c r="A273" s="83">
        <v>2</v>
      </c>
      <c r="B273" s="83">
        <v>65</v>
      </c>
      <c r="C273" s="87">
        <v>9424932</v>
      </c>
      <c r="D273" s="170">
        <v>144998.95384615383</v>
      </c>
      <c r="E273" s="83">
        <v>6</v>
      </c>
      <c r="F273" s="86" t="s">
        <v>45</v>
      </c>
      <c r="G273" s="172">
        <v>1</v>
      </c>
      <c r="H273" s="173">
        <v>9424932</v>
      </c>
      <c r="I273"/>
    </row>
    <row r="274" spans="1:9" x14ac:dyDescent="0.2">
      <c r="A274" s="83">
        <v>2</v>
      </c>
      <c r="B274" s="83">
        <v>65</v>
      </c>
      <c r="C274" s="87">
        <v>8949749</v>
      </c>
      <c r="D274" s="170">
        <v>137688.44615384616</v>
      </c>
      <c r="E274" s="83">
        <v>3</v>
      </c>
      <c r="F274" s="86" t="s">
        <v>45</v>
      </c>
      <c r="G274" s="172">
        <v>1</v>
      </c>
      <c r="H274" s="173">
        <v>8949749</v>
      </c>
      <c r="I274"/>
    </row>
    <row r="275" spans="1:9" x14ac:dyDescent="0.2">
      <c r="A275" s="83">
        <v>3</v>
      </c>
      <c r="B275" s="83">
        <v>66</v>
      </c>
      <c r="C275" s="87">
        <v>9030400</v>
      </c>
      <c r="D275" s="170">
        <v>136824.24242424243</v>
      </c>
      <c r="E275" s="83">
        <v>3</v>
      </c>
      <c r="F275" s="86" t="s">
        <v>45</v>
      </c>
      <c r="G275" s="172">
        <v>1</v>
      </c>
      <c r="H275" s="173">
        <v>9030400</v>
      </c>
      <c r="I275"/>
    </row>
    <row r="276" spans="1:9" x14ac:dyDescent="0.2">
      <c r="A276" s="83">
        <v>3</v>
      </c>
      <c r="B276" s="83">
        <v>67</v>
      </c>
      <c r="C276" s="87">
        <v>9282687</v>
      </c>
      <c r="D276" s="170">
        <v>138547.56716417911</v>
      </c>
      <c r="E276" s="83">
        <v>5</v>
      </c>
      <c r="F276" s="86" t="s">
        <v>45</v>
      </c>
      <c r="G276" s="172">
        <v>1</v>
      </c>
      <c r="H276" s="173">
        <v>9282687</v>
      </c>
      <c r="I276"/>
    </row>
    <row r="277" spans="1:9" x14ac:dyDescent="0.2">
      <c r="A277" s="83">
        <v>2</v>
      </c>
      <c r="B277" s="83">
        <v>67</v>
      </c>
      <c r="C277" s="87">
        <v>9356200</v>
      </c>
      <c r="D277" s="170">
        <v>139644.77611940299</v>
      </c>
      <c r="E277" s="83">
        <v>7</v>
      </c>
      <c r="F277" s="86" t="s">
        <v>45</v>
      </c>
      <c r="G277" s="172">
        <v>1</v>
      </c>
      <c r="H277" s="173">
        <v>9356200</v>
      </c>
      <c r="I277"/>
    </row>
    <row r="278" spans="1:9" x14ac:dyDescent="0.2">
      <c r="A278" s="83">
        <v>2</v>
      </c>
      <c r="B278" s="83">
        <v>67</v>
      </c>
      <c r="C278" s="87">
        <v>9663618</v>
      </c>
      <c r="D278" s="170">
        <v>144233.10447761195</v>
      </c>
      <c r="E278" s="83">
        <v>9</v>
      </c>
      <c r="F278" s="86" t="s">
        <v>45</v>
      </c>
      <c r="G278" s="172">
        <v>1</v>
      </c>
      <c r="H278" s="173">
        <v>9663618</v>
      </c>
      <c r="I278"/>
    </row>
    <row r="279" spans="1:9" x14ac:dyDescent="0.2">
      <c r="A279" s="83">
        <v>2</v>
      </c>
      <c r="B279" s="83">
        <v>68</v>
      </c>
      <c r="C279" s="87">
        <v>9302355</v>
      </c>
      <c r="D279" s="170">
        <v>136799.33823529413</v>
      </c>
      <c r="E279" s="83">
        <v>6</v>
      </c>
      <c r="F279" s="86" t="s">
        <v>45</v>
      </c>
      <c r="G279" s="172">
        <v>1</v>
      </c>
      <c r="H279" s="173">
        <v>9302355</v>
      </c>
      <c r="I279"/>
    </row>
    <row r="280" spans="1:9" x14ac:dyDescent="0.2">
      <c r="A280" s="83">
        <v>2</v>
      </c>
      <c r="B280" s="83">
        <v>73</v>
      </c>
      <c r="C280" s="87">
        <v>10453809</v>
      </c>
      <c r="D280" s="170">
        <v>143202.86301369863</v>
      </c>
      <c r="E280" s="83">
        <v>3</v>
      </c>
      <c r="F280" s="86" t="s">
        <v>73</v>
      </c>
      <c r="G280" s="172">
        <v>1</v>
      </c>
      <c r="H280" s="173">
        <v>10453809</v>
      </c>
      <c r="I280"/>
    </row>
    <row r="281" spans="1:9" x14ac:dyDescent="0.2">
      <c r="A281" s="83">
        <v>2</v>
      </c>
      <c r="B281" s="83">
        <v>73</v>
      </c>
      <c r="C281" s="87">
        <v>10450677</v>
      </c>
      <c r="D281" s="170">
        <v>143159.95890410958</v>
      </c>
      <c r="E281" s="83">
        <v>2</v>
      </c>
      <c r="F281" s="86" t="s">
        <v>41</v>
      </c>
      <c r="G281" s="172">
        <v>1</v>
      </c>
      <c r="H281" s="173">
        <v>10450677</v>
      </c>
      <c r="I281"/>
    </row>
    <row r="282" spans="1:9" x14ac:dyDescent="0.2">
      <c r="A282" s="83">
        <v>2</v>
      </c>
      <c r="B282" s="83">
        <v>73</v>
      </c>
      <c r="C282" s="87">
        <v>12148651</v>
      </c>
      <c r="D282" s="170">
        <v>166419.87671232875</v>
      </c>
      <c r="E282" s="83">
        <v>5</v>
      </c>
      <c r="F282" s="86" t="s">
        <v>41</v>
      </c>
      <c r="G282" s="172">
        <v>1</v>
      </c>
      <c r="H282" s="173">
        <v>12148651</v>
      </c>
      <c r="I282"/>
    </row>
    <row r="283" spans="1:9" x14ac:dyDescent="0.2">
      <c r="A283" s="83">
        <v>2</v>
      </c>
      <c r="B283" s="83">
        <v>73</v>
      </c>
      <c r="C283" s="87">
        <v>12272394</v>
      </c>
      <c r="D283" s="170">
        <v>168114.98630136985</v>
      </c>
      <c r="E283" s="83">
        <v>7</v>
      </c>
      <c r="F283" s="86" t="s">
        <v>41</v>
      </c>
      <c r="G283" s="172">
        <v>1</v>
      </c>
      <c r="H283" s="173">
        <v>12272394</v>
      </c>
      <c r="I283"/>
    </row>
    <row r="284" spans="1:9" x14ac:dyDescent="0.2">
      <c r="A284" s="83">
        <v>2</v>
      </c>
      <c r="B284" s="83">
        <v>74</v>
      </c>
      <c r="C284" s="87">
        <v>12528666</v>
      </c>
      <c r="D284" s="170">
        <v>169306.29729729731</v>
      </c>
      <c r="E284" s="83">
        <v>8</v>
      </c>
      <c r="F284" s="86" t="s">
        <v>41</v>
      </c>
      <c r="G284" s="172">
        <v>1</v>
      </c>
      <c r="H284" s="173">
        <v>12528666</v>
      </c>
      <c r="I284"/>
    </row>
    <row r="285" spans="1:9" x14ac:dyDescent="0.2">
      <c r="A285" s="83">
        <v>3</v>
      </c>
      <c r="B285" s="83">
        <v>77</v>
      </c>
      <c r="C285" s="87">
        <v>9077728</v>
      </c>
      <c r="D285" s="170">
        <v>117892.57142857143</v>
      </c>
      <c r="E285" s="83">
        <v>2</v>
      </c>
      <c r="F285" s="86" t="s">
        <v>45</v>
      </c>
      <c r="G285" s="172">
        <v>1</v>
      </c>
      <c r="H285" s="173">
        <v>9077728</v>
      </c>
      <c r="I285"/>
    </row>
    <row r="286" spans="1:9" x14ac:dyDescent="0.2">
      <c r="A286" s="83">
        <v>2</v>
      </c>
      <c r="B286" s="83">
        <v>77</v>
      </c>
      <c r="C286" s="87">
        <v>9238735</v>
      </c>
      <c r="D286" s="170">
        <v>119983.57142857143</v>
      </c>
      <c r="E286" s="83">
        <v>4</v>
      </c>
      <c r="F286" s="86" t="s">
        <v>45</v>
      </c>
      <c r="G286" s="172">
        <v>1</v>
      </c>
      <c r="H286" s="173">
        <v>9238735</v>
      </c>
      <c r="I286"/>
    </row>
    <row r="287" spans="1:9" x14ac:dyDescent="0.2">
      <c r="A287" s="83">
        <v>3</v>
      </c>
      <c r="B287" s="83">
        <v>79</v>
      </c>
      <c r="C287" s="87">
        <v>9623360</v>
      </c>
      <c r="D287" s="170">
        <v>121814.6835443038</v>
      </c>
      <c r="E287" s="83">
        <v>6</v>
      </c>
      <c r="F287" s="86" t="s">
        <v>45</v>
      </c>
      <c r="G287" s="172">
        <v>1</v>
      </c>
      <c r="H287" s="173">
        <v>9623360</v>
      </c>
      <c r="I287"/>
    </row>
    <row r="288" spans="1:9" x14ac:dyDescent="0.2">
      <c r="A288" s="83">
        <v>2</v>
      </c>
      <c r="B288" s="83">
        <v>79</v>
      </c>
      <c r="C288" s="87">
        <v>9623360</v>
      </c>
      <c r="D288" s="170">
        <v>121814.6835443038</v>
      </c>
      <c r="E288" s="83">
        <v>7</v>
      </c>
      <c r="F288" s="86" t="s">
        <v>45</v>
      </c>
      <c r="G288" s="172">
        <v>1</v>
      </c>
      <c r="H288" s="173">
        <v>9623360</v>
      </c>
      <c r="I288"/>
    </row>
    <row r="289" spans="1:9" x14ac:dyDescent="0.2">
      <c r="A289" s="83">
        <v>2</v>
      </c>
      <c r="B289" s="83">
        <v>87</v>
      </c>
      <c r="C289" s="87">
        <v>10885974</v>
      </c>
      <c r="D289" s="170">
        <v>125126.13793103448</v>
      </c>
      <c r="E289" s="83">
        <v>5</v>
      </c>
      <c r="F289" s="86" t="s">
        <v>45</v>
      </c>
      <c r="G289" s="172">
        <v>1</v>
      </c>
      <c r="H289" s="166">
        <v>10885974</v>
      </c>
      <c r="I289"/>
    </row>
    <row r="290" spans="1:9" x14ac:dyDescent="0.2">
      <c r="A290" s="83">
        <v>2</v>
      </c>
      <c r="B290" s="83">
        <v>87</v>
      </c>
      <c r="C290" s="87">
        <v>11024870</v>
      </c>
      <c r="D290" s="170">
        <v>126722.64367816092</v>
      </c>
      <c r="E290" s="83">
        <v>7</v>
      </c>
      <c r="F290" s="86" t="s">
        <v>45</v>
      </c>
      <c r="G290" s="172">
        <v>1</v>
      </c>
      <c r="H290" s="166">
        <v>11024870</v>
      </c>
      <c r="I290"/>
    </row>
    <row r="291" spans="1:9" x14ac:dyDescent="0.2">
      <c r="A291" s="83">
        <v>3</v>
      </c>
      <c r="B291" s="83">
        <v>94</v>
      </c>
      <c r="C291" s="87">
        <v>13812020</v>
      </c>
      <c r="D291" s="170">
        <v>146936.38297872341</v>
      </c>
      <c r="E291" s="83">
        <v>4</v>
      </c>
      <c r="F291" s="86" t="s">
        <v>45</v>
      </c>
      <c r="G291" s="172">
        <v>1</v>
      </c>
      <c r="H291" s="173">
        <v>13812020</v>
      </c>
      <c r="I291"/>
    </row>
    <row r="292" spans="1:9" x14ac:dyDescent="0.2">
      <c r="A292" s="83">
        <v>3</v>
      </c>
      <c r="B292" s="83">
        <v>94</v>
      </c>
      <c r="C292" s="87">
        <v>11468071</v>
      </c>
      <c r="D292" s="170">
        <v>122000.75531914894</v>
      </c>
      <c r="E292" s="83">
        <v>4</v>
      </c>
      <c r="F292" s="86" t="s">
        <v>45</v>
      </c>
      <c r="G292" s="172">
        <v>1</v>
      </c>
      <c r="H292" s="173">
        <v>11468071</v>
      </c>
      <c r="I292"/>
    </row>
    <row r="293" spans="1:9" x14ac:dyDescent="0.2">
      <c r="A293" s="83">
        <v>3</v>
      </c>
      <c r="B293" s="83">
        <v>94</v>
      </c>
      <c r="C293" s="87">
        <v>13604604</v>
      </c>
      <c r="D293" s="170">
        <v>144729.82978723405</v>
      </c>
      <c r="E293" s="83">
        <v>2</v>
      </c>
      <c r="F293" s="86" t="s">
        <v>41</v>
      </c>
      <c r="G293" s="172">
        <v>1</v>
      </c>
      <c r="H293" s="173">
        <v>13604604</v>
      </c>
      <c r="I293"/>
    </row>
    <row r="294" spans="1:9" x14ac:dyDescent="0.2">
      <c r="A294" s="83">
        <v>3</v>
      </c>
      <c r="B294" s="83">
        <v>94</v>
      </c>
      <c r="C294" s="87">
        <v>11280531</v>
      </c>
      <c r="D294" s="170">
        <v>120005.64893617021</v>
      </c>
      <c r="E294" s="83">
        <v>4</v>
      </c>
      <c r="F294" s="86" t="s">
        <v>41</v>
      </c>
      <c r="G294" s="172">
        <v>1</v>
      </c>
      <c r="H294" s="173">
        <v>11280531</v>
      </c>
      <c r="I294"/>
    </row>
    <row r="295" spans="1:9" x14ac:dyDescent="0.2">
      <c r="A295" s="83">
        <v>3</v>
      </c>
      <c r="B295" s="83">
        <v>94</v>
      </c>
      <c r="C295" s="87">
        <v>13953440</v>
      </c>
      <c r="D295" s="170">
        <v>148440.85106382979</v>
      </c>
      <c r="E295" s="83">
        <v>6</v>
      </c>
      <c r="F295" s="86" t="s">
        <v>41</v>
      </c>
      <c r="G295" s="172">
        <v>1</v>
      </c>
      <c r="H295" s="173">
        <v>13953440</v>
      </c>
      <c r="I295"/>
    </row>
    <row r="296" spans="1:9" x14ac:dyDescent="0.2">
      <c r="A296" s="83">
        <v>3</v>
      </c>
      <c r="B296" s="83">
        <v>96</v>
      </c>
      <c r="C296" s="87">
        <v>11855991</v>
      </c>
      <c r="D296" s="170">
        <v>123499.90625</v>
      </c>
      <c r="E296" s="83">
        <v>8</v>
      </c>
      <c r="F296" s="86" t="s">
        <v>45</v>
      </c>
      <c r="G296" s="172">
        <v>1</v>
      </c>
      <c r="H296" s="173">
        <v>11855991</v>
      </c>
      <c r="I296"/>
    </row>
    <row r="297" spans="1:9" x14ac:dyDescent="0.2">
      <c r="A297" s="83">
        <v>3</v>
      </c>
      <c r="B297" s="83">
        <v>96</v>
      </c>
      <c r="C297" s="87">
        <v>14225760</v>
      </c>
      <c r="D297" s="170">
        <v>148185</v>
      </c>
      <c r="E297" s="83">
        <v>8</v>
      </c>
      <c r="F297" s="86" t="s">
        <v>41</v>
      </c>
      <c r="G297" s="172">
        <v>1</v>
      </c>
      <c r="H297" s="173">
        <v>14225760</v>
      </c>
      <c r="I297"/>
    </row>
    <row r="298" spans="1:9" x14ac:dyDescent="0.2">
      <c r="A298" s="83">
        <v>3</v>
      </c>
      <c r="B298" s="83">
        <v>96</v>
      </c>
      <c r="C298" s="87">
        <v>11855991</v>
      </c>
      <c r="D298" s="170">
        <v>123499.90625</v>
      </c>
      <c r="E298" s="83">
        <v>6</v>
      </c>
      <c r="F298" s="86" t="s">
        <v>45</v>
      </c>
      <c r="G298" s="172">
        <v>1</v>
      </c>
      <c r="H298" s="173">
        <v>11855991</v>
      </c>
      <c r="I298"/>
    </row>
    <row r="299" spans="1:9" x14ac:dyDescent="0.2">
      <c r="A299" s="83">
        <v>3</v>
      </c>
      <c r="B299" s="83">
        <v>96</v>
      </c>
      <c r="C299" s="87">
        <v>14418000</v>
      </c>
      <c r="D299" s="170">
        <v>150187.5</v>
      </c>
      <c r="E299" s="83">
        <v>10</v>
      </c>
      <c r="F299" s="86" t="s">
        <v>45</v>
      </c>
      <c r="G299" s="172">
        <v>1</v>
      </c>
      <c r="H299" s="173">
        <v>14418000</v>
      </c>
      <c r="I299"/>
    </row>
    <row r="300" spans="1:9" x14ac:dyDescent="0.2">
      <c r="A300" s="83">
        <v>3</v>
      </c>
      <c r="B300" s="83">
        <v>100</v>
      </c>
      <c r="C300" s="87">
        <v>13183954</v>
      </c>
      <c r="D300" s="170">
        <v>131839.54</v>
      </c>
      <c r="E300" s="83">
        <v>2</v>
      </c>
      <c r="F300" s="86" t="s">
        <v>45</v>
      </c>
      <c r="G300" s="172">
        <v>1</v>
      </c>
      <c r="H300" s="173">
        <v>13183954</v>
      </c>
      <c r="I300"/>
    </row>
    <row r="301" spans="1:9" x14ac:dyDescent="0.2">
      <c r="A301" s="333" t="s">
        <v>158</v>
      </c>
      <c r="B301" s="263"/>
      <c r="C301" s="263"/>
      <c r="D301" s="263"/>
      <c r="E301" s="263"/>
      <c r="F301" s="334"/>
      <c r="G301" s="231"/>
      <c r="H301" s="367"/>
      <c r="I301"/>
    </row>
    <row r="302" spans="1:9" x14ac:dyDescent="0.2">
      <c r="A302" s="83" t="s">
        <v>6</v>
      </c>
      <c r="B302" s="83" t="s">
        <v>7</v>
      </c>
      <c r="C302" s="83" t="s">
        <v>8</v>
      </c>
      <c r="D302" s="170" t="s">
        <v>11</v>
      </c>
      <c r="E302" s="85" t="s">
        <v>10</v>
      </c>
      <c r="F302" s="83" t="s">
        <v>9</v>
      </c>
      <c r="G302" s="339" t="s">
        <v>31</v>
      </c>
      <c r="H302" s="166" t="s">
        <v>32</v>
      </c>
    </row>
    <row r="303" spans="1:9" x14ac:dyDescent="0.2">
      <c r="A303" s="83">
        <v>1</v>
      </c>
      <c r="B303" s="83">
        <v>31</v>
      </c>
      <c r="C303" s="87">
        <v>6202053</v>
      </c>
      <c r="D303" s="170">
        <v>200066.22580645161</v>
      </c>
      <c r="E303" s="85" t="s">
        <v>17</v>
      </c>
      <c r="F303" s="83" t="s">
        <v>45</v>
      </c>
      <c r="G303" s="171">
        <v>1</v>
      </c>
      <c r="H303" s="87">
        <v>6202053</v>
      </c>
    </row>
    <row r="304" spans="1:9" x14ac:dyDescent="0.2">
      <c r="A304" s="83">
        <v>1</v>
      </c>
      <c r="B304" s="83">
        <v>42</v>
      </c>
      <c r="C304" s="87">
        <v>7761096</v>
      </c>
      <c r="D304" s="170">
        <v>184788</v>
      </c>
      <c r="E304" s="83">
        <v>2</v>
      </c>
      <c r="F304" s="83" t="s">
        <v>45</v>
      </c>
      <c r="G304" s="86">
        <v>1</v>
      </c>
      <c r="H304" s="173">
        <v>7761096</v>
      </c>
    </row>
    <row r="305" spans="1:8" x14ac:dyDescent="0.2">
      <c r="A305" s="83">
        <v>1</v>
      </c>
      <c r="B305" s="83">
        <v>43</v>
      </c>
      <c r="C305" s="87">
        <v>8117582</v>
      </c>
      <c r="D305" s="170">
        <v>188780.97674418605</v>
      </c>
      <c r="E305" s="83">
        <v>3</v>
      </c>
      <c r="F305" s="83" t="s">
        <v>45</v>
      </c>
      <c r="G305" s="86">
        <v>1</v>
      </c>
      <c r="H305" s="173">
        <v>8117582</v>
      </c>
    </row>
    <row r="306" spans="1:8" x14ac:dyDescent="0.2">
      <c r="A306" s="83">
        <v>1</v>
      </c>
      <c r="B306" s="83">
        <v>43</v>
      </c>
      <c r="C306" s="87">
        <v>7985824</v>
      </c>
      <c r="D306" s="170">
        <v>185716.83720930232</v>
      </c>
      <c r="E306" s="83">
        <v>3</v>
      </c>
      <c r="F306" s="83" t="s">
        <v>45</v>
      </c>
      <c r="G306" s="86">
        <v>1</v>
      </c>
      <c r="H306" s="87">
        <v>7985824</v>
      </c>
    </row>
    <row r="307" spans="1:8" x14ac:dyDescent="0.2">
      <c r="A307" s="83">
        <v>2</v>
      </c>
      <c r="B307" s="83">
        <v>54</v>
      </c>
      <c r="C307" s="87">
        <v>8235000</v>
      </c>
      <c r="D307" s="170">
        <v>152500</v>
      </c>
      <c r="E307" s="83">
        <v>2</v>
      </c>
      <c r="F307" s="83" t="s">
        <v>45</v>
      </c>
      <c r="G307" s="86">
        <v>1</v>
      </c>
      <c r="H307" s="87">
        <v>8154000</v>
      </c>
    </row>
    <row r="308" spans="1:8" x14ac:dyDescent="0.2">
      <c r="A308" s="83">
        <v>2</v>
      </c>
      <c r="B308" s="83">
        <v>55</v>
      </c>
      <c r="C308" s="87">
        <v>8469766</v>
      </c>
      <c r="D308" s="170">
        <v>153995.74545454545</v>
      </c>
      <c r="E308" s="83">
        <v>4</v>
      </c>
      <c r="F308" s="83" t="s">
        <v>45</v>
      </c>
      <c r="G308" s="86">
        <v>1</v>
      </c>
      <c r="H308" s="87">
        <v>8387161</v>
      </c>
    </row>
    <row r="309" spans="1:8" x14ac:dyDescent="0.2">
      <c r="A309" s="83">
        <v>2</v>
      </c>
      <c r="B309" s="83">
        <v>55</v>
      </c>
      <c r="C309" s="87">
        <v>8623962</v>
      </c>
      <c r="D309" s="170">
        <v>156799.30909090908</v>
      </c>
      <c r="E309" s="83">
        <v>7</v>
      </c>
      <c r="F309" s="83" t="s">
        <v>45</v>
      </c>
      <c r="G309" s="86">
        <v>1</v>
      </c>
      <c r="H309" s="87">
        <v>8535850</v>
      </c>
    </row>
    <row r="310" spans="1:8" x14ac:dyDescent="0.2">
      <c r="A310" s="83">
        <v>2</v>
      </c>
      <c r="B310" s="83">
        <v>63</v>
      </c>
      <c r="C310" s="87">
        <v>9214560</v>
      </c>
      <c r="D310" s="170">
        <v>146262.85714285713</v>
      </c>
      <c r="E310" s="83">
        <v>4</v>
      </c>
      <c r="F310" s="83" t="s">
        <v>45</v>
      </c>
      <c r="G310" s="86">
        <v>1</v>
      </c>
      <c r="H310" s="87">
        <v>9126080</v>
      </c>
    </row>
    <row r="311" spans="1:8" x14ac:dyDescent="0.2">
      <c r="A311" s="83">
        <v>2</v>
      </c>
      <c r="B311" s="83">
        <v>68</v>
      </c>
      <c r="C311" s="87">
        <v>9447447</v>
      </c>
      <c r="D311" s="170">
        <v>138933.04411764705</v>
      </c>
      <c r="E311" s="83">
        <v>5</v>
      </c>
      <c r="F311" s="83" t="s">
        <v>45</v>
      </c>
      <c r="G311" s="86">
        <v>1</v>
      </c>
      <c r="H311" s="87">
        <v>9352905</v>
      </c>
    </row>
    <row r="312" spans="1:8" x14ac:dyDescent="0.2">
      <c r="A312" s="83">
        <v>2</v>
      </c>
      <c r="B312" s="83">
        <v>68</v>
      </c>
      <c r="C312" s="87">
        <v>9292128</v>
      </c>
      <c r="D312" s="170">
        <v>136648.9411764706</v>
      </c>
      <c r="E312" s="83">
        <v>3</v>
      </c>
      <c r="F312" s="83" t="s">
        <v>45</v>
      </c>
      <c r="G312" s="86">
        <v>1</v>
      </c>
      <c r="H312" s="87">
        <v>9197586</v>
      </c>
    </row>
    <row r="313" spans="1:8" x14ac:dyDescent="0.2">
      <c r="A313" s="83">
        <v>2</v>
      </c>
      <c r="B313" s="83">
        <v>69</v>
      </c>
      <c r="C313" s="87">
        <v>12346432</v>
      </c>
      <c r="D313" s="170">
        <v>178933.79710144928</v>
      </c>
      <c r="E313" s="83">
        <v>4</v>
      </c>
      <c r="F313" s="83" t="s">
        <v>45</v>
      </c>
      <c r="G313" s="86">
        <v>1</v>
      </c>
      <c r="H313" s="173">
        <v>12221440</v>
      </c>
    </row>
    <row r="314" spans="1:8" x14ac:dyDescent="0.2">
      <c r="A314" s="83">
        <v>2</v>
      </c>
      <c r="B314" s="83">
        <v>61</v>
      </c>
      <c r="C314" s="87">
        <v>10689598</v>
      </c>
      <c r="D314" s="170">
        <v>175239.31147540984</v>
      </c>
      <c r="E314" s="83">
        <v>4</v>
      </c>
      <c r="F314" s="83" t="s">
        <v>45</v>
      </c>
      <c r="G314" s="86">
        <v>1</v>
      </c>
      <c r="H314" s="173">
        <v>10689598</v>
      </c>
    </row>
    <row r="315" spans="1:8" x14ac:dyDescent="0.2">
      <c r="A315" s="83">
        <v>2</v>
      </c>
      <c r="B315" s="83">
        <v>71</v>
      </c>
      <c r="C315" s="87">
        <v>10394370</v>
      </c>
      <c r="D315" s="170">
        <v>146399.57746478874</v>
      </c>
      <c r="E315" s="83">
        <v>3</v>
      </c>
      <c r="F315" s="83" t="s">
        <v>45</v>
      </c>
      <c r="G315" s="86">
        <v>1</v>
      </c>
      <c r="H315" s="87">
        <v>10288305</v>
      </c>
    </row>
    <row r="316" spans="1:8" x14ac:dyDescent="0.2">
      <c r="A316" s="83">
        <v>3</v>
      </c>
      <c r="B316" s="83">
        <v>82</v>
      </c>
      <c r="C316" s="87">
        <v>12730800</v>
      </c>
      <c r="D316" s="170">
        <v>155253.65853658537</v>
      </c>
      <c r="E316" s="83">
        <v>2</v>
      </c>
      <c r="F316" s="83" t="s">
        <v>45</v>
      </c>
      <c r="G316" s="86">
        <v>1</v>
      </c>
      <c r="H316" s="166">
        <v>12730800</v>
      </c>
    </row>
    <row r="317" spans="1:8" x14ac:dyDescent="0.2">
      <c r="A317" s="89">
        <v>3</v>
      </c>
      <c r="B317" s="89">
        <v>85</v>
      </c>
      <c r="C317" s="368">
        <v>13515654</v>
      </c>
      <c r="D317" s="369">
        <v>159007.69411764707</v>
      </c>
      <c r="E317" s="89">
        <v>3</v>
      </c>
      <c r="F317" s="89" t="s">
        <v>45</v>
      </c>
      <c r="G317" s="195">
        <v>1</v>
      </c>
      <c r="H317" s="368">
        <v>13515654</v>
      </c>
    </row>
    <row r="318" spans="1:8" x14ac:dyDescent="0.2">
      <c r="A318" s="260" t="s">
        <v>169</v>
      </c>
      <c r="B318" s="260"/>
      <c r="C318" s="260"/>
      <c r="D318" s="260"/>
      <c r="E318" s="260"/>
      <c r="F318" s="260"/>
    </row>
    <row r="319" spans="1:8" x14ac:dyDescent="0.2">
      <c r="A319" s="83">
        <v>1</v>
      </c>
      <c r="B319" s="83">
        <v>32</v>
      </c>
      <c r="C319" s="83">
        <v>6563412</v>
      </c>
      <c r="D319" s="83">
        <v>205106.625</v>
      </c>
      <c r="E319" s="83">
        <v>3</v>
      </c>
      <c r="F319" s="83" t="s">
        <v>45</v>
      </c>
      <c r="G319" s="83">
        <v>1</v>
      </c>
      <c r="H319" s="83">
        <v>6563412</v>
      </c>
    </row>
    <row r="320" spans="1:8" x14ac:dyDescent="0.2">
      <c r="A320" s="83">
        <v>1</v>
      </c>
      <c r="B320" s="83">
        <v>37</v>
      </c>
      <c r="C320" s="87">
        <v>6366470</v>
      </c>
      <c r="D320" s="170">
        <v>172066.75675675675</v>
      </c>
      <c r="E320" s="83">
        <v>3</v>
      </c>
      <c r="F320" s="83" t="s">
        <v>45</v>
      </c>
      <c r="G320" s="86">
        <v>1</v>
      </c>
      <c r="H320" s="87">
        <v>6366470</v>
      </c>
    </row>
    <row r="321" spans="1:8" x14ac:dyDescent="0.2">
      <c r="A321" s="83">
        <v>1</v>
      </c>
      <c r="B321" s="83">
        <v>40</v>
      </c>
      <c r="C321" s="87">
        <v>6847372</v>
      </c>
      <c r="D321" s="170">
        <v>171184.3</v>
      </c>
      <c r="E321" s="83">
        <v>2</v>
      </c>
      <c r="F321" s="83" t="s">
        <v>45</v>
      </c>
      <c r="G321" s="86">
        <v>1</v>
      </c>
      <c r="H321" s="87">
        <v>6391280</v>
      </c>
    </row>
    <row r="322" spans="1:8" x14ac:dyDescent="0.2">
      <c r="A322" s="83">
        <v>1</v>
      </c>
      <c r="B322" s="83">
        <v>40</v>
      </c>
      <c r="C322" s="87">
        <v>7060128</v>
      </c>
      <c r="D322" s="170">
        <v>176503.2</v>
      </c>
      <c r="E322" s="83">
        <v>3</v>
      </c>
      <c r="F322" s="83" t="s">
        <v>45</v>
      </c>
      <c r="G322" s="86">
        <v>1</v>
      </c>
      <c r="H322" s="87">
        <v>7060128</v>
      </c>
    </row>
    <row r="323" spans="1:8" x14ac:dyDescent="0.2">
      <c r="A323" s="83">
        <v>1</v>
      </c>
      <c r="B323" s="83">
        <v>45</v>
      </c>
      <c r="C323" s="87">
        <v>7014756</v>
      </c>
      <c r="D323" s="170">
        <v>155883.46666666667</v>
      </c>
      <c r="E323" s="83">
        <v>2</v>
      </c>
      <c r="F323" s="83" t="s">
        <v>45</v>
      </c>
      <c r="G323" s="86">
        <v>1</v>
      </c>
      <c r="H323" s="87">
        <v>7014756</v>
      </c>
    </row>
    <row r="324" spans="1:8" x14ac:dyDescent="0.2">
      <c r="A324" s="83">
        <v>1</v>
      </c>
      <c r="B324" s="83">
        <v>45</v>
      </c>
      <c r="C324" s="87">
        <v>8450530</v>
      </c>
      <c r="D324" s="170">
        <v>187789.55555555556</v>
      </c>
      <c r="E324" s="83">
        <v>2</v>
      </c>
      <c r="F324" s="83" t="s">
        <v>45</v>
      </c>
      <c r="G324" s="86">
        <v>1</v>
      </c>
      <c r="H324" s="87">
        <v>8450530</v>
      </c>
    </row>
    <row r="325" spans="1:8" x14ac:dyDescent="0.2">
      <c r="A325" s="83">
        <v>1</v>
      </c>
      <c r="B325" s="83">
        <v>44</v>
      </c>
      <c r="C325" s="87">
        <v>7482398</v>
      </c>
      <c r="D325" s="170">
        <v>170054.5</v>
      </c>
      <c r="E325" s="83">
        <v>3</v>
      </c>
      <c r="F325" s="83" t="s">
        <v>45</v>
      </c>
      <c r="G325" s="86">
        <v>1</v>
      </c>
      <c r="H325" s="87">
        <v>7482398</v>
      </c>
    </row>
    <row r="326" spans="1:8" x14ac:dyDescent="0.2">
      <c r="A326" s="83">
        <v>1</v>
      </c>
      <c r="B326" s="83">
        <v>46</v>
      </c>
      <c r="C326" s="87">
        <v>8417145</v>
      </c>
      <c r="D326" s="170">
        <v>182981.41304347827</v>
      </c>
      <c r="E326" s="83">
        <v>3</v>
      </c>
      <c r="F326" s="83" t="s">
        <v>45</v>
      </c>
      <c r="G326" s="86">
        <v>1</v>
      </c>
      <c r="H326" s="87">
        <v>8417145</v>
      </c>
    </row>
    <row r="327" spans="1:8" x14ac:dyDescent="0.2">
      <c r="A327" s="83">
        <v>1</v>
      </c>
      <c r="B327" s="83">
        <v>47</v>
      </c>
      <c r="C327" s="87">
        <v>8752451</v>
      </c>
      <c r="D327" s="170">
        <v>186222.36170212767</v>
      </c>
      <c r="E327" s="83">
        <v>2</v>
      </c>
      <c r="F327" s="83" t="s">
        <v>45</v>
      </c>
      <c r="G327" s="86">
        <v>1</v>
      </c>
      <c r="H327" s="87">
        <v>8752451</v>
      </c>
    </row>
    <row r="328" spans="1:8" x14ac:dyDescent="0.2">
      <c r="A328" s="83">
        <v>1</v>
      </c>
      <c r="B328" s="83">
        <v>48</v>
      </c>
      <c r="C328" s="87">
        <v>8977691</v>
      </c>
      <c r="D328" s="170">
        <v>187035.22916666666</v>
      </c>
      <c r="E328" s="83">
        <v>2</v>
      </c>
      <c r="F328" s="83" t="s">
        <v>45</v>
      </c>
      <c r="G328" s="86">
        <v>1</v>
      </c>
      <c r="H328" s="87">
        <v>8977691</v>
      </c>
    </row>
    <row r="329" spans="1:8" x14ac:dyDescent="0.2">
      <c r="A329" s="83">
        <v>2</v>
      </c>
      <c r="B329" s="83">
        <v>69</v>
      </c>
      <c r="C329" s="87">
        <v>9251020</v>
      </c>
      <c r="D329" s="170">
        <v>134072.75362318842</v>
      </c>
      <c r="E329" s="83">
        <v>3</v>
      </c>
      <c r="F329" s="83" t="s">
        <v>45</v>
      </c>
      <c r="G329" s="86">
        <v>1</v>
      </c>
      <c r="H329" s="87">
        <v>9251020</v>
      </c>
    </row>
    <row r="330" spans="1:8" x14ac:dyDescent="0.2">
      <c r="A330" s="83">
        <v>2</v>
      </c>
      <c r="B330" s="83">
        <v>72</v>
      </c>
      <c r="C330" s="87">
        <v>9946190</v>
      </c>
      <c r="D330" s="170">
        <v>138141.52777777778</v>
      </c>
      <c r="E330" s="83">
        <v>2</v>
      </c>
      <c r="F330" s="83" t="s">
        <v>45</v>
      </c>
      <c r="G330" s="86">
        <v>1</v>
      </c>
      <c r="H330" s="87">
        <v>9946190</v>
      </c>
    </row>
    <row r="331" spans="1:8" x14ac:dyDescent="0.2">
      <c r="A331" s="83">
        <v>2</v>
      </c>
      <c r="B331" s="83">
        <v>58</v>
      </c>
      <c r="C331" s="87">
        <v>10167759</v>
      </c>
      <c r="D331" s="170">
        <v>175306.18965517241</v>
      </c>
      <c r="E331" s="83">
        <v>1</v>
      </c>
      <c r="F331" s="83" t="s">
        <v>45</v>
      </c>
      <c r="G331" s="86">
        <v>1</v>
      </c>
      <c r="H331" s="87">
        <v>10167759</v>
      </c>
    </row>
    <row r="332" spans="1:8" x14ac:dyDescent="0.2">
      <c r="A332" s="83">
        <v>2</v>
      </c>
      <c r="B332" s="83">
        <v>65</v>
      </c>
      <c r="C332" s="87">
        <v>9570944</v>
      </c>
      <c r="D332" s="170">
        <v>147245.29230769232</v>
      </c>
      <c r="E332" s="83">
        <v>4</v>
      </c>
      <c r="F332" s="83" t="s">
        <v>45</v>
      </c>
      <c r="G332" s="86">
        <v>1</v>
      </c>
      <c r="H332" s="87">
        <v>9570944</v>
      </c>
    </row>
    <row r="333" spans="1:8" x14ac:dyDescent="0.2">
      <c r="A333" s="83">
        <v>2</v>
      </c>
      <c r="B333" s="83">
        <v>66</v>
      </c>
      <c r="C333" s="87">
        <v>10239808</v>
      </c>
      <c r="D333" s="170">
        <v>155148.60606060605</v>
      </c>
      <c r="E333" s="83">
        <v>2</v>
      </c>
      <c r="F333" s="83" t="s">
        <v>45</v>
      </c>
      <c r="G333" s="86">
        <v>1</v>
      </c>
      <c r="H333" s="87">
        <v>10239808</v>
      </c>
    </row>
    <row r="334" spans="1:8" x14ac:dyDescent="0.2">
      <c r="A334" s="83">
        <v>2</v>
      </c>
      <c r="B334" s="83">
        <v>56</v>
      </c>
      <c r="C334" s="87">
        <v>10291562</v>
      </c>
      <c r="D334" s="170">
        <v>183777.89285714287</v>
      </c>
      <c r="E334" s="83">
        <v>2</v>
      </c>
      <c r="F334" s="83" t="s">
        <v>45</v>
      </c>
      <c r="G334" s="86">
        <v>1</v>
      </c>
      <c r="H334" s="87">
        <v>10291562</v>
      </c>
    </row>
    <row r="335" spans="1:8" x14ac:dyDescent="0.2">
      <c r="A335" s="83">
        <v>2</v>
      </c>
      <c r="B335" s="83">
        <v>75</v>
      </c>
      <c r="C335" s="87">
        <v>10509800</v>
      </c>
      <c r="D335" s="170">
        <v>140130.66666666666</v>
      </c>
      <c r="E335" s="83">
        <v>3</v>
      </c>
      <c r="F335" s="83" t="s">
        <v>45</v>
      </c>
      <c r="G335" s="86">
        <v>1</v>
      </c>
      <c r="H335" s="87">
        <v>10509800</v>
      </c>
    </row>
    <row r="336" spans="1:8" x14ac:dyDescent="0.2">
      <c r="A336" s="83">
        <v>3</v>
      </c>
      <c r="B336" s="83">
        <v>86</v>
      </c>
      <c r="C336" s="87">
        <v>10566864</v>
      </c>
      <c r="D336" s="170">
        <v>122870.51162790698</v>
      </c>
      <c r="E336" s="83">
        <v>3</v>
      </c>
      <c r="F336" s="83" t="s">
        <v>45</v>
      </c>
      <c r="G336" s="86">
        <v>1</v>
      </c>
      <c r="H336" s="87">
        <v>10566864</v>
      </c>
    </row>
    <row r="337" spans="1:8" x14ac:dyDescent="0.2">
      <c r="A337" s="83">
        <v>2</v>
      </c>
      <c r="B337" s="83">
        <v>69</v>
      </c>
      <c r="C337" s="87">
        <v>10703065</v>
      </c>
      <c r="D337" s="170">
        <v>155116.88405797101</v>
      </c>
      <c r="E337" s="83">
        <v>2</v>
      </c>
      <c r="F337" s="83" t="s">
        <v>45</v>
      </c>
      <c r="G337" s="86">
        <v>1</v>
      </c>
      <c r="H337" s="87">
        <v>10703065</v>
      </c>
    </row>
    <row r="338" spans="1:8" x14ac:dyDescent="0.2">
      <c r="A338" s="83">
        <v>2</v>
      </c>
      <c r="B338" s="83">
        <v>69</v>
      </c>
      <c r="C338" s="87">
        <v>10811912</v>
      </c>
      <c r="D338" s="170">
        <v>156694.37681159421</v>
      </c>
      <c r="E338" s="83">
        <v>1</v>
      </c>
      <c r="F338" s="83" t="s">
        <v>45</v>
      </c>
      <c r="G338" s="86">
        <v>1</v>
      </c>
      <c r="H338" s="87">
        <v>10811912</v>
      </c>
    </row>
    <row r="339" spans="1:8" x14ac:dyDescent="0.2">
      <c r="A339" s="83">
        <v>2</v>
      </c>
      <c r="B339" s="83">
        <v>69</v>
      </c>
      <c r="C339" s="87">
        <v>10866474</v>
      </c>
      <c r="D339" s="170">
        <v>157485.13043478262</v>
      </c>
      <c r="E339" s="83">
        <v>2</v>
      </c>
      <c r="F339" s="83" t="s">
        <v>45</v>
      </c>
      <c r="G339" s="86">
        <v>1</v>
      </c>
      <c r="H339" s="87">
        <v>10866474</v>
      </c>
    </row>
    <row r="340" spans="1:8" x14ac:dyDescent="0.2">
      <c r="A340" s="83">
        <v>2</v>
      </c>
      <c r="B340" s="83">
        <v>69</v>
      </c>
      <c r="C340" s="87">
        <v>10889417</v>
      </c>
      <c r="D340" s="170">
        <v>157817.63768115942</v>
      </c>
      <c r="E340" s="83">
        <v>2</v>
      </c>
      <c r="F340" s="83" t="s">
        <v>45</v>
      </c>
      <c r="G340" s="86">
        <v>1</v>
      </c>
      <c r="H340" s="87">
        <v>10889417</v>
      </c>
    </row>
    <row r="341" spans="1:8" x14ac:dyDescent="0.2">
      <c r="A341" s="83">
        <v>2</v>
      </c>
      <c r="B341" s="83">
        <v>69</v>
      </c>
      <c r="C341" s="87">
        <v>11182136</v>
      </c>
      <c r="D341" s="170">
        <v>162059.9420289855</v>
      </c>
      <c r="E341" s="83">
        <v>2</v>
      </c>
      <c r="F341" s="83" t="s">
        <v>45</v>
      </c>
      <c r="G341" s="86">
        <v>1</v>
      </c>
      <c r="H341" s="87">
        <v>11182136</v>
      </c>
    </row>
    <row r="342" spans="1:8" x14ac:dyDescent="0.2">
      <c r="A342" s="83">
        <v>2</v>
      </c>
      <c r="B342" s="83">
        <v>76</v>
      </c>
      <c r="C342" s="87">
        <v>11194183</v>
      </c>
      <c r="D342" s="170">
        <v>147291.88157894736</v>
      </c>
      <c r="E342" s="83">
        <v>2</v>
      </c>
      <c r="F342" s="83" t="s">
        <v>45</v>
      </c>
      <c r="G342" s="86">
        <v>1</v>
      </c>
      <c r="H342" s="87">
        <v>11194183</v>
      </c>
    </row>
    <row r="343" spans="1:8" x14ac:dyDescent="0.2">
      <c r="A343" s="83">
        <v>2</v>
      </c>
      <c r="B343" s="83">
        <v>72</v>
      </c>
      <c r="C343" s="87">
        <v>11539200</v>
      </c>
      <c r="D343" s="170">
        <v>160266.66666666666</v>
      </c>
      <c r="E343" s="83">
        <v>3</v>
      </c>
      <c r="F343" s="83" t="s">
        <v>45</v>
      </c>
      <c r="G343" s="86">
        <v>1</v>
      </c>
      <c r="H343" s="87">
        <v>11539200</v>
      </c>
    </row>
    <row r="344" spans="1:8" x14ac:dyDescent="0.2">
      <c r="A344" s="83">
        <v>3</v>
      </c>
      <c r="B344" s="83">
        <v>82</v>
      </c>
      <c r="C344" s="87">
        <v>11822499</v>
      </c>
      <c r="D344" s="170">
        <v>144176.81707317074</v>
      </c>
      <c r="E344" s="83">
        <v>1</v>
      </c>
      <c r="F344" s="83" t="s">
        <v>45</v>
      </c>
      <c r="G344" s="86">
        <v>1</v>
      </c>
      <c r="H344" s="87">
        <v>11822499</v>
      </c>
    </row>
    <row r="345" spans="1:8" x14ac:dyDescent="0.2">
      <c r="A345" s="83">
        <v>3</v>
      </c>
      <c r="B345" s="83">
        <v>82</v>
      </c>
      <c r="C345" s="87">
        <v>11221588</v>
      </c>
      <c r="D345" s="170">
        <v>136848.63414634147</v>
      </c>
      <c r="E345" s="83">
        <v>4</v>
      </c>
      <c r="F345" s="83" t="s">
        <v>45</v>
      </c>
      <c r="G345" s="86">
        <v>1</v>
      </c>
      <c r="H345" s="87">
        <v>11221588</v>
      </c>
    </row>
    <row r="346" spans="1:8" x14ac:dyDescent="0.2">
      <c r="A346" s="83">
        <v>3</v>
      </c>
      <c r="B346" s="83">
        <v>88</v>
      </c>
      <c r="C346" s="87">
        <v>13352859</v>
      </c>
      <c r="D346" s="170">
        <v>151737.03409090909</v>
      </c>
      <c r="E346" s="83">
        <v>3</v>
      </c>
      <c r="F346" s="83" t="s">
        <v>45</v>
      </c>
      <c r="G346" s="86">
        <v>1</v>
      </c>
      <c r="H346" s="87">
        <v>13352859</v>
      </c>
    </row>
    <row r="347" spans="1:8" x14ac:dyDescent="0.2">
      <c r="A347" s="83">
        <v>3</v>
      </c>
      <c r="B347" s="83">
        <v>96</v>
      </c>
      <c r="C347" s="87">
        <v>13702703</v>
      </c>
      <c r="D347" s="170">
        <v>142736.48958333334</v>
      </c>
      <c r="E347" s="83">
        <v>1</v>
      </c>
      <c r="F347" s="83" t="s">
        <v>45</v>
      </c>
      <c r="G347" s="86">
        <v>1</v>
      </c>
      <c r="H347" s="87">
        <v>13702703</v>
      </c>
    </row>
    <row r="348" spans="1:8" x14ac:dyDescent="0.2">
      <c r="A348" s="261" t="s">
        <v>327</v>
      </c>
      <c r="B348" s="261"/>
      <c r="C348" s="261"/>
      <c r="D348" s="261"/>
      <c r="E348" s="261"/>
      <c r="F348" s="261"/>
      <c r="G348" s="86"/>
      <c r="H348" s="83"/>
    </row>
    <row r="349" spans="1:8" x14ac:dyDescent="0.2">
      <c r="A349" s="83">
        <v>2</v>
      </c>
      <c r="B349" s="83">
        <v>61</v>
      </c>
      <c r="C349" s="87">
        <v>8606520</v>
      </c>
      <c r="D349" s="170">
        <v>141090.49180327868</v>
      </c>
      <c r="E349" s="83">
        <v>1</v>
      </c>
      <c r="F349" s="83" t="s">
        <v>45</v>
      </c>
      <c r="G349" s="86">
        <v>1</v>
      </c>
      <c r="H349" s="87">
        <v>8605520</v>
      </c>
    </row>
    <row r="350" spans="1:8" x14ac:dyDescent="0.2">
      <c r="A350" s="265" t="s">
        <v>328</v>
      </c>
      <c r="B350" s="266"/>
      <c r="C350" s="266"/>
      <c r="D350" s="266"/>
      <c r="E350" s="266"/>
      <c r="F350" s="267"/>
    </row>
    <row r="351" spans="1:8" x14ac:dyDescent="0.2">
      <c r="A351" s="83" t="s">
        <v>16</v>
      </c>
      <c r="B351" s="83">
        <v>30</v>
      </c>
      <c r="C351" s="87">
        <v>5577280</v>
      </c>
      <c r="D351" s="170">
        <v>185909.33333333334</v>
      </c>
      <c r="E351" s="83">
        <v>4</v>
      </c>
      <c r="F351" s="83" t="s">
        <v>45</v>
      </c>
      <c r="G351" s="86">
        <v>1</v>
      </c>
      <c r="H351" s="87">
        <v>5577280</v>
      </c>
    </row>
    <row r="352" spans="1:8" x14ac:dyDescent="0.2">
      <c r="A352" s="83">
        <v>1</v>
      </c>
      <c r="B352" s="83">
        <v>40</v>
      </c>
      <c r="C352" s="87">
        <v>6693552</v>
      </c>
      <c r="D352" s="170">
        <v>167338.79999999999</v>
      </c>
      <c r="E352" s="83">
        <v>2</v>
      </c>
      <c r="F352" s="83" t="s">
        <v>45</v>
      </c>
      <c r="G352" s="86">
        <v>1</v>
      </c>
      <c r="H352" s="87">
        <v>6693552</v>
      </c>
    </row>
    <row r="353" spans="1:8" x14ac:dyDescent="0.2">
      <c r="A353" s="83">
        <v>1</v>
      </c>
      <c r="B353" s="83">
        <v>41</v>
      </c>
      <c r="C353" s="87">
        <v>7236720</v>
      </c>
      <c r="D353" s="170">
        <v>176505.36585365853</v>
      </c>
      <c r="E353" s="83">
        <v>4</v>
      </c>
      <c r="F353" s="83" t="s">
        <v>45</v>
      </c>
      <c r="G353" s="86">
        <v>1</v>
      </c>
      <c r="H353" s="87">
        <v>7236720</v>
      </c>
    </row>
    <row r="354" spans="1:8" x14ac:dyDescent="0.2">
      <c r="A354" s="83">
        <v>1</v>
      </c>
      <c r="B354" s="83">
        <v>44</v>
      </c>
      <c r="C354" s="87">
        <v>7136736</v>
      </c>
      <c r="D354" s="170">
        <v>162198.54545454544</v>
      </c>
      <c r="E354" s="83" t="s">
        <v>329</v>
      </c>
      <c r="F354" s="83" t="s">
        <v>45</v>
      </c>
      <c r="G354" s="86">
        <v>2</v>
      </c>
      <c r="H354" s="87">
        <v>6628880</v>
      </c>
    </row>
    <row r="355" spans="1:8" x14ac:dyDescent="0.2">
      <c r="A355" s="83">
        <v>1</v>
      </c>
      <c r="B355" s="83">
        <v>43</v>
      </c>
      <c r="C355" s="87">
        <v>7140672</v>
      </c>
      <c r="D355" s="170">
        <v>166062.13953488372</v>
      </c>
      <c r="E355" s="83">
        <v>2</v>
      </c>
      <c r="F355" s="83" t="s">
        <v>45</v>
      </c>
      <c r="G355" s="86">
        <v>1</v>
      </c>
      <c r="H355" s="87">
        <v>7140672</v>
      </c>
    </row>
    <row r="356" spans="1:8" x14ac:dyDescent="0.2">
      <c r="A356" s="83">
        <v>1</v>
      </c>
      <c r="B356" s="83">
        <v>44</v>
      </c>
      <c r="C356" s="87">
        <v>7386750</v>
      </c>
      <c r="D356" s="170">
        <v>167880.68181818182</v>
      </c>
      <c r="E356" s="83">
        <v>3</v>
      </c>
      <c r="F356" s="83" t="s">
        <v>45</v>
      </c>
      <c r="G356" s="86">
        <v>1</v>
      </c>
      <c r="H356" s="87">
        <v>7386750</v>
      </c>
    </row>
    <row r="357" spans="1:8" x14ac:dyDescent="0.2">
      <c r="A357" s="83">
        <v>1</v>
      </c>
      <c r="B357" s="83">
        <v>53</v>
      </c>
      <c r="C357" s="87">
        <v>8218792</v>
      </c>
      <c r="D357" s="170">
        <v>155071.54716981133</v>
      </c>
      <c r="E357" s="83">
        <v>2</v>
      </c>
      <c r="F357" s="83" t="s">
        <v>45</v>
      </c>
      <c r="G357" s="86">
        <v>1</v>
      </c>
      <c r="H357" s="87">
        <v>8218792</v>
      </c>
    </row>
    <row r="358" spans="1:8" x14ac:dyDescent="0.2">
      <c r="A358" s="83">
        <v>2</v>
      </c>
      <c r="B358" s="83">
        <v>60</v>
      </c>
      <c r="C358" s="87">
        <v>9265360</v>
      </c>
      <c r="D358" s="170">
        <v>154422.66666666666</v>
      </c>
      <c r="E358" s="83">
        <v>2</v>
      </c>
      <c r="F358" s="83" t="s">
        <v>45</v>
      </c>
      <c r="G358" s="86">
        <v>1</v>
      </c>
      <c r="H358" s="87">
        <v>9265360</v>
      </c>
    </row>
    <row r="359" spans="1:8" x14ac:dyDescent="0.2">
      <c r="A359" s="83">
        <v>2</v>
      </c>
      <c r="B359" s="83">
        <v>61</v>
      </c>
      <c r="C359" s="87">
        <v>9423260</v>
      </c>
      <c r="D359" s="170">
        <v>154479.67213114753</v>
      </c>
      <c r="E359" s="83">
        <v>3</v>
      </c>
      <c r="F359" s="83" t="s">
        <v>45</v>
      </c>
      <c r="G359" s="86">
        <v>1</v>
      </c>
      <c r="H359" s="87">
        <v>9423260</v>
      </c>
    </row>
    <row r="360" spans="1:8" x14ac:dyDescent="0.2">
      <c r="A360" s="83">
        <v>2</v>
      </c>
      <c r="B360" s="83">
        <v>65</v>
      </c>
      <c r="C360" s="87">
        <v>9842514</v>
      </c>
      <c r="D360" s="170">
        <v>151423.29230769232</v>
      </c>
      <c r="E360" s="83">
        <v>3</v>
      </c>
      <c r="F360" s="83" t="s">
        <v>45</v>
      </c>
      <c r="G360" s="86">
        <v>1</v>
      </c>
      <c r="H360" s="87">
        <v>9842514</v>
      </c>
    </row>
    <row r="361" spans="1:8" x14ac:dyDescent="0.2">
      <c r="A361" s="83">
        <v>2</v>
      </c>
      <c r="B361" s="83">
        <v>65</v>
      </c>
      <c r="C361" s="87">
        <v>9842514</v>
      </c>
      <c r="D361" s="170">
        <v>151423.29230769232</v>
      </c>
      <c r="E361" s="83">
        <v>2</v>
      </c>
      <c r="F361" s="83" t="s">
        <v>45</v>
      </c>
      <c r="G361" s="86">
        <v>1</v>
      </c>
      <c r="H361" s="87">
        <v>9842514</v>
      </c>
    </row>
    <row r="362" spans="1:8" x14ac:dyDescent="0.2">
      <c r="A362" s="83">
        <v>3</v>
      </c>
      <c r="B362" s="83">
        <v>93</v>
      </c>
      <c r="C362" s="87">
        <v>13169080</v>
      </c>
      <c r="D362" s="170">
        <v>141603.01075268816</v>
      </c>
      <c r="E362" s="83">
        <v>2</v>
      </c>
      <c r="F362" s="83" t="s">
        <v>45</v>
      </c>
      <c r="G362" s="86">
        <v>1</v>
      </c>
      <c r="H362" s="87">
        <v>13169080</v>
      </c>
    </row>
    <row r="363" spans="1:8" x14ac:dyDescent="0.2">
      <c r="A363" s="83">
        <v>3</v>
      </c>
      <c r="B363" s="83">
        <v>93</v>
      </c>
      <c r="C363" s="87">
        <v>13818260</v>
      </c>
      <c r="D363" s="170">
        <v>148583.44086021505</v>
      </c>
      <c r="E363" s="83">
        <v>4</v>
      </c>
      <c r="F363" s="83" t="s">
        <v>45</v>
      </c>
      <c r="G363" s="86">
        <v>1</v>
      </c>
      <c r="H363" s="87">
        <v>13169080</v>
      </c>
    </row>
    <row r="364" spans="1:8" x14ac:dyDescent="0.2">
      <c r="A364" s="83">
        <v>3</v>
      </c>
      <c r="B364" s="83">
        <v>93</v>
      </c>
      <c r="C364" s="87">
        <v>13169080</v>
      </c>
      <c r="D364" s="170">
        <v>141603.01075268816</v>
      </c>
      <c r="E364" s="83">
        <v>3</v>
      </c>
      <c r="F364" s="83" t="s">
        <v>45</v>
      </c>
      <c r="G364" s="86">
        <v>1</v>
      </c>
      <c r="H364" s="87">
        <v>13818260</v>
      </c>
    </row>
  </sheetData>
  <autoFilter ref="A3:H353" xr:uid="{4150E44A-BBE9-4C34-AA8B-14CB78F466D0}">
    <filterColumn colId="0">
      <iconFilter iconSet="3Arrows"/>
    </filterColumn>
  </autoFilter>
  <sortState ref="A241:H289">
    <sortCondition ref="B241:B289"/>
  </sortState>
  <mergeCells count="15">
    <mergeCell ref="A142:F142"/>
    <mergeCell ref="A156:F156"/>
    <mergeCell ref="A201:F201"/>
    <mergeCell ref="A245:F245"/>
    <mergeCell ref="A301:F301"/>
    <mergeCell ref="A1:F1"/>
    <mergeCell ref="A2:F2"/>
    <mergeCell ref="A79:F79"/>
    <mergeCell ref="A9:F9"/>
    <mergeCell ref="A47:F47"/>
    <mergeCell ref="A106:F106"/>
    <mergeCell ref="A109:F109"/>
    <mergeCell ref="A318:F318"/>
    <mergeCell ref="A348:F348"/>
    <mergeCell ref="A350:F350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66EC-C338-467C-A0D8-E463B6AE2DB5}">
  <sheetPr filterMode="1"/>
  <dimension ref="A1:H396"/>
  <sheetViews>
    <sheetView workbookViewId="0">
      <selection activeCell="B375" sqref="B375"/>
    </sheetView>
  </sheetViews>
  <sheetFormatPr defaultRowHeight="12.75" x14ac:dyDescent="0.2"/>
  <cols>
    <col min="3" max="4" width="13" style="196" customWidth="1"/>
    <col min="5" max="5" width="13.85546875" customWidth="1"/>
    <col min="6" max="6" width="14" customWidth="1"/>
    <col min="8" max="8" width="14.28515625" style="196" customWidth="1"/>
  </cols>
  <sheetData>
    <row r="1" spans="1:8" ht="18" x14ac:dyDescent="0.25">
      <c r="A1" s="288" t="s">
        <v>19</v>
      </c>
      <c r="B1" s="289"/>
      <c r="C1" s="289"/>
      <c r="D1" s="289"/>
      <c r="E1" s="289"/>
      <c r="F1" s="289"/>
      <c r="G1" s="60" t="s">
        <v>53</v>
      </c>
      <c r="H1" s="203"/>
    </row>
    <row r="2" spans="1:8" x14ac:dyDescent="0.2">
      <c r="A2" s="61" t="s">
        <v>6</v>
      </c>
      <c r="B2" s="61" t="s">
        <v>7</v>
      </c>
      <c r="C2" s="199" t="s">
        <v>8</v>
      </c>
      <c r="D2" s="199" t="s">
        <v>11</v>
      </c>
      <c r="E2" s="62" t="s">
        <v>10</v>
      </c>
      <c r="F2" s="63" t="s">
        <v>9</v>
      </c>
      <c r="G2" s="61" t="s">
        <v>38</v>
      </c>
      <c r="H2" s="199" t="s">
        <v>32</v>
      </c>
    </row>
    <row r="3" spans="1:8" x14ac:dyDescent="0.2">
      <c r="A3" s="282" t="s">
        <v>40</v>
      </c>
      <c r="B3" s="283"/>
      <c r="C3" s="283"/>
      <c r="D3" s="283"/>
      <c r="E3" s="283"/>
      <c r="F3" s="285"/>
      <c r="G3" s="46"/>
      <c r="H3" s="204"/>
    </row>
    <row r="4" spans="1:8" x14ac:dyDescent="0.2">
      <c r="A4" s="83">
        <v>2</v>
      </c>
      <c r="B4" s="83">
        <v>57.9</v>
      </c>
      <c r="C4" s="64">
        <v>9206100</v>
      </c>
      <c r="D4" s="200">
        <f t="shared" ref="D4:D10" si="0">C4/B4</f>
        <v>159000</v>
      </c>
      <c r="E4" s="65" t="s">
        <v>37</v>
      </c>
      <c r="F4" s="76" t="s">
        <v>13</v>
      </c>
      <c r="G4" s="77">
        <v>1</v>
      </c>
      <c r="H4" s="64">
        <f t="shared" ref="H4:H10" si="1">G4*C4</f>
        <v>9206100</v>
      </c>
    </row>
    <row r="5" spans="1:8" x14ac:dyDescent="0.2">
      <c r="A5" s="83">
        <v>2</v>
      </c>
      <c r="B5" s="83">
        <v>62.2</v>
      </c>
      <c r="C5" s="64">
        <v>9330000</v>
      </c>
      <c r="D5" s="200">
        <f t="shared" si="0"/>
        <v>150000</v>
      </c>
      <c r="E5" s="65" t="s">
        <v>37</v>
      </c>
      <c r="F5" s="76" t="s">
        <v>13</v>
      </c>
      <c r="G5" s="77">
        <v>1</v>
      </c>
      <c r="H5" s="64">
        <f>G5*C5</f>
        <v>9330000</v>
      </c>
    </row>
    <row r="6" spans="1:8" x14ac:dyDescent="0.2">
      <c r="A6" s="83">
        <v>2</v>
      </c>
      <c r="B6" s="83">
        <v>80</v>
      </c>
      <c r="C6" s="64">
        <v>9760000</v>
      </c>
      <c r="D6" s="200">
        <f t="shared" si="0"/>
        <v>122000</v>
      </c>
      <c r="E6" s="65" t="s">
        <v>147</v>
      </c>
      <c r="F6" s="76" t="s">
        <v>41</v>
      </c>
      <c r="G6" s="77">
        <v>2</v>
      </c>
      <c r="H6" s="64">
        <f t="shared" si="1"/>
        <v>19520000</v>
      </c>
    </row>
    <row r="7" spans="1:8" x14ac:dyDescent="0.2">
      <c r="A7" s="83">
        <v>3</v>
      </c>
      <c r="B7" s="83">
        <v>80.099999999999994</v>
      </c>
      <c r="C7" s="64">
        <v>9612000</v>
      </c>
      <c r="D7" s="200">
        <f t="shared" si="0"/>
        <v>120000.00000000001</v>
      </c>
      <c r="E7" s="65" t="s">
        <v>283</v>
      </c>
      <c r="F7" s="76" t="s">
        <v>13</v>
      </c>
      <c r="G7" s="77">
        <v>3</v>
      </c>
      <c r="H7" s="64">
        <f t="shared" si="1"/>
        <v>28836000</v>
      </c>
    </row>
    <row r="8" spans="1:8" x14ac:dyDescent="0.2">
      <c r="A8" s="83">
        <v>3</v>
      </c>
      <c r="B8" s="83">
        <v>80.2</v>
      </c>
      <c r="C8" s="64">
        <v>9543800</v>
      </c>
      <c r="D8" s="200">
        <f t="shared" si="0"/>
        <v>119000</v>
      </c>
      <c r="E8" s="65" t="s">
        <v>333</v>
      </c>
      <c r="F8" s="76" t="s">
        <v>13</v>
      </c>
      <c r="G8" s="77">
        <v>3</v>
      </c>
      <c r="H8" s="64">
        <f t="shared" si="1"/>
        <v>28631400</v>
      </c>
    </row>
    <row r="9" spans="1:8" x14ac:dyDescent="0.2">
      <c r="A9" s="83">
        <v>3</v>
      </c>
      <c r="B9" s="83">
        <v>80.400000000000006</v>
      </c>
      <c r="C9" s="64">
        <v>10532400</v>
      </c>
      <c r="D9" s="200">
        <f t="shared" si="0"/>
        <v>130999.99999999999</v>
      </c>
      <c r="E9" s="65" t="s">
        <v>37</v>
      </c>
      <c r="F9" s="76" t="s">
        <v>13</v>
      </c>
      <c r="G9" s="77">
        <v>1</v>
      </c>
      <c r="H9" s="64">
        <f t="shared" si="1"/>
        <v>10532400</v>
      </c>
    </row>
    <row r="10" spans="1:8" x14ac:dyDescent="0.2">
      <c r="A10" s="83">
        <v>3</v>
      </c>
      <c r="B10" s="83">
        <v>83.3</v>
      </c>
      <c r="C10" s="64">
        <v>12411700</v>
      </c>
      <c r="D10" s="200">
        <f t="shared" si="0"/>
        <v>149000</v>
      </c>
      <c r="E10" s="65" t="s">
        <v>30</v>
      </c>
      <c r="F10" s="76" t="s">
        <v>13</v>
      </c>
      <c r="G10" s="77">
        <v>1</v>
      </c>
      <c r="H10" s="64">
        <f t="shared" si="1"/>
        <v>12411700</v>
      </c>
    </row>
    <row r="11" spans="1:8" x14ac:dyDescent="0.2">
      <c r="A11" s="282" t="s">
        <v>55</v>
      </c>
      <c r="B11" s="283"/>
      <c r="C11" s="283"/>
      <c r="D11" s="283"/>
      <c r="E11" s="283"/>
      <c r="F11" s="283"/>
      <c r="G11" s="46"/>
      <c r="H11" s="204"/>
    </row>
    <row r="12" spans="1:8" x14ac:dyDescent="0.2">
      <c r="A12" s="61" t="s">
        <v>6</v>
      </c>
      <c r="B12" s="67" t="s">
        <v>7</v>
      </c>
      <c r="C12" s="201" t="s">
        <v>8</v>
      </c>
      <c r="D12" s="201" t="s">
        <v>11</v>
      </c>
      <c r="E12" s="68" t="s">
        <v>10</v>
      </c>
      <c r="F12" s="67" t="s">
        <v>9</v>
      </c>
      <c r="G12" s="46"/>
      <c r="H12" s="204"/>
    </row>
    <row r="13" spans="1:8" x14ac:dyDescent="0.2">
      <c r="A13" s="83">
        <v>2</v>
      </c>
      <c r="B13" s="83">
        <v>40.1</v>
      </c>
      <c r="C13" s="56">
        <v>6616500</v>
      </c>
      <c r="D13" s="56">
        <f>C13/B13</f>
        <v>165000</v>
      </c>
      <c r="E13" s="55" t="s">
        <v>30</v>
      </c>
      <c r="F13" s="36" t="s">
        <v>13</v>
      </c>
      <c r="G13" s="35">
        <v>1</v>
      </c>
      <c r="H13" s="64">
        <f t="shared" ref="H13:H23" si="2">G13*C13</f>
        <v>6616500</v>
      </c>
    </row>
    <row r="14" spans="1:8" x14ac:dyDescent="0.2">
      <c r="A14" s="83">
        <v>1</v>
      </c>
      <c r="B14" s="83">
        <v>40.4</v>
      </c>
      <c r="C14" s="56">
        <v>6577120</v>
      </c>
      <c r="D14" s="56">
        <f>C14/B14</f>
        <v>162800</v>
      </c>
      <c r="E14" s="55" t="s">
        <v>30</v>
      </c>
      <c r="F14" s="36" t="s">
        <v>13</v>
      </c>
      <c r="G14" s="35">
        <v>1</v>
      </c>
      <c r="H14" s="64">
        <f t="shared" si="2"/>
        <v>6577120</v>
      </c>
    </row>
    <row r="15" spans="1:8" x14ac:dyDescent="0.2">
      <c r="A15" s="83">
        <v>1</v>
      </c>
      <c r="B15" s="83">
        <v>40.6</v>
      </c>
      <c r="C15" s="56">
        <v>6609680</v>
      </c>
      <c r="D15" s="56">
        <f t="shared" ref="D15:D23" si="3">C15/B15</f>
        <v>162800</v>
      </c>
      <c r="E15" s="55" t="s">
        <v>30</v>
      </c>
      <c r="F15" s="36" t="s">
        <v>13</v>
      </c>
      <c r="G15" s="35">
        <v>1</v>
      </c>
      <c r="H15" s="64">
        <f t="shared" si="2"/>
        <v>6609680</v>
      </c>
    </row>
    <row r="16" spans="1:8" x14ac:dyDescent="0.2">
      <c r="A16" s="83">
        <v>1</v>
      </c>
      <c r="B16" s="83">
        <v>40.700000000000003</v>
      </c>
      <c r="C16" s="56">
        <v>6625960</v>
      </c>
      <c r="D16" s="56">
        <f t="shared" si="3"/>
        <v>162800</v>
      </c>
      <c r="E16" s="55" t="s">
        <v>30</v>
      </c>
      <c r="F16" s="36" t="s">
        <v>13</v>
      </c>
      <c r="G16" s="35">
        <v>1</v>
      </c>
      <c r="H16" s="64">
        <f t="shared" si="2"/>
        <v>6625960</v>
      </c>
    </row>
    <row r="17" spans="1:8" x14ac:dyDescent="0.2">
      <c r="A17" s="83">
        <v>2</v>
      </c>
      <c r="B17" s="83">
        <v>53</v>
      </c>
      <c r="C17" s="56">
        <v>8628400</v>
      </c>
      <c r="D17" s="56">
        <f t="shared" si="3"/>
        <v>162800</v>
      </c>
      <c r="E17" s="55" t="s">
        <v>30</v>
      </c>
      <c r="F17" s="36" t="s">
        <v>13</v>
      </c>
      <c r="G17" s="35">
        <v>1</v>
      </c>
      <c r="H17" s="64">
        <f t="shared" si="2"/>
        <v>8628400</v>
      </c>
    </row>
    <row r="18" spans="1:8" x14ac:dyDescent="0.2">
      <c r="A18" s="83">
        <v>3</v>
      </c>
      <c r="B18" s="83">
        <v>53.3</v>
      </c>
      <c r="C18" s="56">
        <v>8618610</v>
      </c>
      <c r="D18" s="56">
        <f t="shared" si="3"/>
        <v>161700</v>
      </c>
      <c r="E18" s="55" t="s">
        <v>30</v>
      </c>
      <c r="F18" s="36" t="s">
        <v>13</v>
      </c>
      <c r="G18" s="35">
        <v>1</v>
      </c>
      <c r="H18" s="64">
        <f t="shared" si="2"/>
        <v>8618610</v>
      </c>
    </row>
    <row r="19" spans="1:8" x14ac:dyDescent="0.2">
      <c r="A19" s="83">
        <v>3</v>
      </c>
      <c r="B19" s="83">
        <v>54.9</v>
      </c>
      <c r="C19" s="56">
        <v>9300060</v>
      </c>
      <c r="D19" s="56">
        <f t="shared" si="3"/>
        <v>169400</v>
      </c>
      <c r="E19" s="55" t="s">
        <v>30</v>
      </c>
      <c r="F19" s="36" t="s">
        <v>13</v>
      </c>
      <c r="G19" s="35">
        <v>1</v>
      </c>
      <c r="H19" s="64">
        <f t="shared" si="2"/>
        <v>9300060</v>
      </c>
    </row>
    <row r="20" spans="1:8" x14ac:dyDescent="0.2">
      <c r="A20" s="83">
        <v>3</v>
      </c>
      <c r="B20" s="83">
        <v>57.4</v>
      </c>
      <c r="C20" s="56">
        <v>8612200</v>
      </c>
      <c r="D20" s="56">
        <f>C20/B20</f>
        <v>150038.3275261324</v>
      </c>
      <c r="E20" s="55" t="s">
        <v>140</v>
      </c>
      <c r="F20" s="36" t="s">
        <v>13</v>
      </c>
      <c r="G20" s="35">
        <v>2</v>
      </c>
      <c r="H20" s="64">
        <f t="shared" si="2"/>
        <v>17224400</v>
      </c>
    </row>
    <row r="21" spans="1:8" x14ac:dyDescent="0.2">
      <c r="A21" s="83">
        <v>2</v>
      </c>
      <c r="B21" s="83">
        <v>57.5</v>
      </c>
      <c r="C21" s="56">
        <v>9297750</v>
      </c>
      <c r="D21" s="56">
        <f t="shared" si="3"/>
        <v>161700</v>
      </c>
      <c r="E21" s="55" t="s">
        <v>30</v>
      </c>
      <c r="F21" s="36" t="s">
        <v>13</v>
      </c>
      <c r="G21" s="35">
        <v>1</v>
      </c>
      <c r="H21" s="64">
        <f t="shared" si="2"/>
        <v>9297750</v>
      </c>
    </row>
    <row r="22" spans="1:8" x14ac:dyDescent="0.2">
      <c r="A22" s="83">
        <v>2</v>
      </c>
      <c r="B22" s="83">
        <v>59.7</v>
      </c>
      <c r="C22" s="56">
        <v>9175890</v>
      </c>
      <c r="D22" s="56">
        <f t="shared" si="3"/>
        <v>153700</v>
      </c>
      <c r="E22" s="55" t="s">
        <v>30</v>
      </c>
      <c r="F22" s="36" t="s">
        <v>13</v>
      </c>
      <c r="G22" s="35">
        <v>1</v>
      </c>
      <c r="H22" s="64">
        <f t="shared" si="2"/>
        <v>9175890</v>
      </c>
    </row>
    <row r="23" spans="1:8" x14ac:dyDescent="0.2">
      <c r="A23" s="83">
        <v>2</v>
      </c>
      <c r="B23" s="83">
        <v>59.7</v>
      </c>
      <c r="C23" s="56">
        <v>9653490</v>
      </c>
      <c r="D23" s="56">
        <f t="shared" si="3"/>
        <v>161700</v>
      </c>
      <c r="E23" s="55" t="s">
        <v>30</v>
      </c>
      <c r="F23" s="36" t="s">
        <v>13</v>
      </c>
      <c r="G23" s="35">
        <v>1</v>
      </c>
      <c r="H23" s="64">
        <f t="shared" si="2"/>
        <v>9653490</v>
      </c>
    </row>
    <row r="24" spans="1:8" x14ac:dyDescent="0.2">
      <c r="A24" s="282" t="s">
        <v>113</v>
      </c>
      <c r="B24" s="283"/>
      <c r="C24" s="283"/>
      <c r="D24" s="283"/>
      <c r="E24" s="283"/>
      <c r="F24" s="283"/>
      <c r="G24" s="20"/>
      <c r="H24" s="204"/>
    </row>
    <row r="25" spans="1:8" x14ac:dyDescent="0.2">
      <c r="A25" s="69" t="s">
        <v>6</v>
      </c>
      <c r="B25" s="70" t="s">
        <v>7</v>
      </c>
      <c r="C25" s="202" t="s">
        <v>8</v>
      </c>
      <c r="D25" s="202" t="s">
        <v>11</v>
      </c>
      <c r="E25" s="71" t="s">
        <v>10</v>
      </c>
      <c r="F25" s="70" t="s">
        <v>9</v>
      </c>
      <c r="G25" s="20"/>
      <c r="H25" s="204"/>
    </row>
    <row r="26" spans="1:8" x14ac:dyDescent="0.2">
      <c r="A26" s="83">
        <v>1</v>
      </c>
      <c r="B26" s="83">
        <v>35.200000000000003</v>
      </c>
      <c r="C26" s="56">
        <v>5315200</v>
      </c>
      <c r="D26" s="56">
        <f t="shared" ref="D26:D107" si="4">C26/B26</f>
        <v>151000</v>
      </c>
      <c r="E26" s="55" t="s">
        <v>15</v>
      </c>
      <c r="F26" s="36" t="s">
        <v>13</v>
      </c>
      <c r="G26" s="35">
        <v>1</v>
      </c>
      <c r="H26" s="64">
        <f t="shared" ref="H26:H95" si="5">G26*C26</f>
        <v>5315200</v>
      </c>
    </row>
    <row r="27" spans="1:8" x14ac:dyDescent="0.2">
      <c r="A27" s="83">
        <v>1</v>
      </c>
      <c r="B27" s="83">
        <v>35.200000000000003</v>
      </c>
      <c r="C27" s="56">
        <v>5315200</v>
      </c>
      <c r="D27" s="56">
        <f t="shared" si="4"/>
        <v>151000</v>
      </c>
      <c r="E27" s="55" t="s">
        <v>18</v>
      </c>
      <c r="F27" s="36" t="s">
        <v>13</v>
      </c>
      <c r="G27" s="35">
        <v>1</v>
      </c>
      <c r="H27" s="64">
        <f t="shared" si="5"/>
        <v>5315200</v>
      </c>
    </row>
    <row r="28" spans="1:8" x14ac:dyDescent="0.2">
      <c r="A28" s="83">
        <v>1</v>
      </c>
      <c r="B28" s="83">
        <v>35.200000000000003</v>
      </c>
      <c r="C28" s="56">
        <v>5561600</v>
      </c>
      <c r="D28" s="56">
        <f t="shared" si="4"/>
        <v>158000</v>
      </c>
      <c r="E28" s="55" t="s">
        <v>15</v>
      </c>
      <c r="F28" s="36" t="s">
        <v>13</v>
      </c>
      <c r="G28" s="35">
        <v>1</v>
      </c>
      <c r="H28" s="64">
        <f t="shared" si="5"/>
        <v>5561600</v>
      </c>
    </row>
    <row r="29" spans="1:8" x14ac:dyDescent="0.2">
      <c r="A29" s="83">
        <v>1</v>
      </c>
      <c r="B29" s="83">
        <v>35.200000000000003</v>
      </c>
      <c r="C29" s="56">
        <v>5561600</v>
      </c>
      <c r="D29" s="56">
        <f t="shared" si="4"/>
        <v>158000</v>
      </c>
      <c r="E29" s="55" t="s">
        <v>15</v>
      </c>
      <c r="F29" s="36" t="s">
        <v>13</v>
      </c>
      <c r="G29" s="35">
        <v>1</v>
      </c>
      <c r="H29" s="64">
        <f t="shared" si="5"/>
        <v>5561600</v>
      </c>
    </row>
    <row r="30" spans="1:8" x14ac:dyDescent="0.2">
      <c r="A30" s="83">
        <v>1</v>
      </c>
      <c r="B30" s="83">
        <v>35.299999999999997</v>
      </c>
      <c r="C30" s="56">
        <v>5330300</v>
      </c>
      <c r="D30" s="56">
        <f>C30/B30</f>
        <v>151000</v>
      </c>
      <c r="E30" s="55" t="s">
        <v>15</v>
      </c>
      <c r="F30" s="36" t="s">
        <v>13</v>
      </c>
      <c r="G30" s="35">
        <v>1</v>
      </c>
      <c r="H30" s="64">
        <f t="shared" si="5"/>
        <v>5330300</v>
      </c>
    </row>
    <row r="31" spans="1:8" x14ac:dyDescent="0.2">
      <c r="A31" s="83">
        <v>1</v>
      </c>
      <c r="B31" s="83">
        <v>35.299999999999997</v>
      </c>
      <c r="C31" s="56">
        <v>5330300</v>
      </c>
      <c r="D31" s="56">
        <f t="shared" si="4"/>
        <v>151000</v>
      </c>
      <c r="E31" s="55" t="s">
        <v>15</v>
      </c>
      <c r="F31" s="36" t="s">
        <v>13</v>
      </c>
      <c r="G31" s="35">
        <v>1</v>
      </c>
      <c r="H31" s="64">
        <f t="shared" si="5"/>
        <v>5330300</v>
      </c>
    </row>
    <row r="32" spans="1:8" x14ac:dyDescent="0.2">
      <c r="A32" s="83">
        <v>1</v>
      </c>
      <c r="B32" s="83">
        <v>35.700000000000003</v>
      </c>
      <c r="C32" s="56">
        <v>5426400</v>
      </c>
      <c r="D32" s="56">
        <f t="shared" si="4"/>
        <v>152000</v>
      </c>
      <c r="E32" s="55" t="s">
        <v>28</v>
      </c>
      <c r="F32" s="36" t="s">
        <v>13</v>
      </c>
      <c r="G32" s="35">
        <v>1</v>
      </c>
      <c r="H32" s="64">
        <f t="shared" si="5"/>
        <v>5426400</v>
      </c>
    </row>
    <row r="33" spans="1:8" x14ac:dyDescent="0.2">
      <c r="A33" s="83">
        <v>1</v>
      </c>
      <c r="B33" s="83">
        <v>35.700000000000003</v>
      </c>
      <c r="C33" s="56">
        <v>5426400</v>
      </c>
      <c r="D33" s="56">
        <f t="shared" si="4"/>
        <v>152000</v>
      </c>
      <c r="E33" s="55" t="s">
        <v>28</v>
      </c>
      <c r="F33" s="36" t="s">
        <v>13</v>
      </c>
      <c r="G33" s="35">
        <v>1</v>
      </c>
      <c r="H33" s="64">
        <f t="shared" si="5"/>
        <v>5426400</v>
      </c>
    </row>
    <row r="34" spans="1:8" x14ac:dyDescent="0.2">
      <c r="A34" s="83">
        <v>1</v>
      </c>
      <c r="B34" s="83">
        <v>35.700000000000003</v>
      </c>
      <c r="C34" s="56">
        <v>5969040</v>
      </c>
      <c r="D34" s="56">
        <f t="shared" si="4"/>
        <v>167200</v>
      </c>
      <c r="E34" s="55" t="s">
        <v>30</v>
      </c>
      <c r="F34" s="36" t="s">
        <v>13</v>
      </c>
      <c r="G34" s="35">
        <v>1</v>
      </c>
      <c r="H34" s="64">
        <f t="shared" si="5"/>
        <v>5969040</v>
      </c>
    </row>
    <row r="35" spans="1:8" x14ac:dyDescent="0.2">
      <c r="A35" s="83">
        <v>1</v>
      </c>
      <c r="B35" s="83">
        <v>35.700000000000003</v>
      </c>
      <c r="C35" s="56">
        <v>5969040</v>
      </c>
      <c r="D35" s="56">
        <f t="shared" si="4"/>
        <v>167200</v>
      </c>
      <c r="E35" s="55" t="s">
        <v>30</v>
      </c>
      <c r="F35" s="36" t="s">
        <v>13</v>
      </c>
      <c r="G35" s="35">
        <v>1</v>
      </c>
      <c r="H35" s="64">
        <f t="shared" si="5"/>
        <v>5969040</v>
      </c>
    </row>
    <row r="36" spans="1:8" x14ac:dyDescent="0.2">
      <c r="A36" s="83">
        <v>1</v>
      </c>
      <c r="B36" s="83">
        <v>36</v>
      </c>
      <c r="C36" s="56">
        <v>5436000</v>
      </c>
      <c r="D36" s="56">
        <f t="shared" si="4"/>
        <v>151000</v>
      </c>
      <c r="E36" s="55" t="s">
        <v>34</v>
      </c>
      <c r="F36" s="36" t="s">
        <v>13</v>
      </c>
      <c r="G36" s="35">
        <v>1</v>
      </c>
      <c r="H36" s="64">
        <f t="shared" si="5"/>
        <v>5436000</v>
      </c>
    </row>
    <row r="37" spans="1:8" x14ac:dyDescent="0.2">
      <c r="A37" s="83">
        <v>1</v>
      </c>
      <c r="B37" s="83">
        <v>36</v>
      </c>
      <c r="C37" s="56">
        <v>5472000</v>
      </c>
      <c r="D37" s="56">
        <f t="shared" si="4"/>
        <v>152000</v>
      </c>
      <c r="E37" s="55" t="s">
        <v>33</v>
      </c>
      <c r="F37" s="36" t="s">
        <v>13</v>
      </c>
      <c r="G37" s="35">
        <v>1</v>
      </c>
      <c r="H37" s="64">
        <f t="shared" si="5"/>
        <v>5472000</v>
      </c>
    </row>
    <row r="38" spans="1:8" x14ac:dyDescent="0.2">
      <c r="A38" s="83">
        <v>2</v>
      </c>
      <c r="B38" s="83">
        <v>36</v>
      </c>
      <c r="C38" s="56">
        <v>5724000</v>
      </c>
      <c r="D38" s="56">
        <f t="shared" si="4"/>
        <v>159000</v>
      </c>
      <c r="E38" s="55" t="s">
        <v>27</v>
      </c>
      <c r="F38" s="36" t="s">
        <v>13</v>
      </c>
      <c r="G38" s="35">
        <v>1</v>
      </c>
      <c r="H38" s="64">
        <f t="shared" si="5"/>
        <v>5724000</v>
      </c>
    </row>
    <row r="39" spans="1:8" x14ac:dyDescent="0.2">
      <c r="A39" s="83">
        <v>1</v>
      </c>
      <c r="B39" s="83">
        <v>36</v>
      </c>
      <c r="C39" s="56">
        <v>6019200</v>
      </c>
      <c r="D39" s="56">
        <f t="shared" si="4"/>
        <v>167200</v>
      </c>
      <c r="E39" s="55" t="s">
        <v>30</v>
      </c>
      <c r="F39" s="36" t="s">
        <v>13</v>
      </c>
      <c r="G39" s="35">
        <v>1</v>
      </c>
      <c r="H39" s="64">
        <f t="shared" si="5"/>
        <v>6019200</v>
      </c>
    </row>
    <row r="40" spans="1:8" x14ac:dyDescent="0.2">
      <c r="A40" s="83">
        <v>2</v>
      </c>
      <c r="B40" s="83">
        <v>36</v>
      </c>
      <c r="C40" s="56">
        <v>6300000</v>
      </c>
      <c r="D40" s="56">
        <f t="shared" si="4"/>
        <v>175000</v>
      </c>
      <c r="E40" s="55" t="s">
        <v>30</v>
      </c>
      <c r="F40" s="36" t="s">
        <v>13</v>
      </c>
      <c r="G40" s="35">
        <v>1</v>
      </c>
      <c r="H40" s="64">
        <f t="shared" si="5"/>
        <v>6300000</v>
      </c>
    </row>
    <row r="41" spans="1:8" x14ac:dyDescent="0.2">
      <c r="A41" s="83">
        <v>1</v>
      </c>
      <c r="B41" s="83">
        <v>39.1</v>
      </c>
      <c r="C41" s="56">
        <v>5904100</v>
      </c>
      <c r="D41" s="56">
        <f t="shared" si="4"/>
        <v>151000</v>
      </c>
      <c r="E41" s="55" t="s">
        <v>15</v>
      </c>
      <c r="F41" s="36" t="s">
        <v>13</v>
      </c>
      <c r="G41" s="35">
        <v>1</v>
      </c>
      <c r="H41" s="64">
        <f t="shared" si="5"/>
        <v>5904100</v>
      </c>
    </row>
    <row r="42" spans="1:8" x14ac:dyDescent="0.2">
      <c r="A42" s="83">
        <v>2</v>
      </c>
      <c r="B42" s="83">
        <v>39.6</v>
      </c>
      <c r="C42" s="56">
        <v>5900400</v>
      </c>
      <c r="D42" s="56">
        <f t="shared" si="4"/>
        <v>149000</v>
      </c>
      <c r="E42" s="55" t="s">
        <v>49</v>
      </c>
      <c r="F42" s="36" t="s">
        <v>13</v>
      </c>
      <c r="G42" s="35">
        <v>2</v>
      </c>
      <c r="H42" s="64">
        <f t="shared" si="5"/>
        <v>11800800</v>
      </c>
    </row>
    <row r="43" spans="1:8" x14ac:dyDescent="0.2">
      <c r="A43" s="83">
        <v>1</v>
      </c>
      <c r="B43" s="83">
        <v>39.700000000000003</v>
      </c>
      <c r="C43" s="56">
        <v>5597700</v>
      </c>
      <c r="D43" s="56">
        <f t="shared" si="4"/>
        <v>141000</v>
      </c>
      <c r="E43" s="55" t="s">
        <v>18</v>
      </c>
      <c r="F43" s="36" t="s">
        <v>13</v>
      </c>
      <c r="G43" s="35">
        <v>1</v>
      </c>
      <c r="H43" s="64">
        <f t="shared" si="5"/>
        <v>5597700</v>
      </c>
    </row>
    <row r="44" spans="1:8" x14ac:dyDescent="0.2">
      <c r="A44" s="83">
        <v>1</v>
      </c>
      <c r="B44" s="83">
        <v>39.700000000000003</v>
      </c>
      <c r="C44" s="56">
        <v>5597700</v>
      </c>
      <c r="D44" s="56">
        <f t="shared" si="4"/>
        <v>141000</v>
      </c>
      <c r="E44" s="55" t="s">
        <v>18</v>
      </c>
      <c r="F44" s="36" t="s">
        <v>13</v>
      </c>
      <c r="G44" s="35">
        <v>1</v>
      </c>
      <c r="H44" s="64">
        <f t="shared" si="5"/>
        <v>5597700</v>
      </c>
    </row>
    <row r="45" spans="1:8" x14ac:dyDescent="0.2">
      <c r="A45" s="83">
        <v>2</v>
      </c>
      <c r="B45" s="83">
        <v>40</v>
      </c>
      <c r="C45" s="56">
        <v>6040000</v>
      </c>
      <c r="D45" s="56">
        <f t="shared" si="4"/>
        <v>151000</v>
      </c>
      <c r="E45" s="55" t="s">
        <v>28</v>
      </c>
      <c r="F45" s="36" t="s">
        <v>13</v>
      </c>
      <c r="G45" s="35">
        <v>1</v>
      </c>
      <c r="H45" s="64">
        <f t="shared" si="5"/>
        <v>6040000</v>
      </c>
    </row>
    <row r="46" spans="1:8" x14ac:dyDescent="0.2">
      <c r="A46" s="83">
        <v>2</v>
      </c>
      <c r="B46" s="83">
        <v>40</v>
      </c>
      <c r="C46" s="56">
        <v>6644000</v>
      </c>
      <c r="D46" s="56">
        <f t="shared" si="4"/>
        <v>166100</v>
      </c>
      <c r="E46" s="55" t="s">
        <v>30</v>
      </c>
      <c r="F46" s="36" t="s">
        <v>13</v>
      </c>
      <c r="G46" s="35">
        <v>1</v>
      </c>
      <c r="H46" s="64">
        <f t="shared" si="5"/>
        <v>6644000</v>
      </c>
    </row>
    <row r="47" spans="1:8" x14ac:dyDescent="0.2">
      <c r="A47" s="83">
        <v>2</v>
      </c>
      <c r="B47" s="83">
        <v>40</v>
      </c>
      <c r="C47" s="56">
        <v>6644000</v>
      </c>
      <c r="D47" s="56">
        <f t="shared" si="4"/>
        <v>166100</v>
      </c>
      <c r="E47" s="55" t="s">
        <v>30</v>
      </c>
      <c r="F47" s="36" t="s">
        <v>13</v>
      </c>
      <c r="G47" s="35">
        <v>1</v>
      </c>
      <c r="H47" s="64">
        <f t="shared" si="5"/>
        <v>6644000</v>
      </c>
    </row>
    <row r="48" spans="1:8" x14ac:dyDescent="0.2">
      <c r="A48" s="83">
        <v>2</v>
      </c>
      <c r="B48" s="83">
        <v>40.299999999999997</v>
      </c>
      <c r="C48" s="56">
        <v>6649500</v>
      </c>
      <c r="D48" s="56">
        <f t="shared" si="4"/>
        <v>165000</v>
      </c>
      <c r="E48" s="55" t="s">
        <v>30</v>
      </c>
      <c r="F48" s="36" t="s">
        <v>13</v>
      </c>
      <c r="G48" s="35">
        <v>1</v>
      </c>
      <c r="H48" s="64">
        <f t="shared" si="5"/>
        <v>6649500</v>
      </c>
    </row>
    <row r="49" spans="1:8" x14ac:dyDescent="0.2">
      <c r="A49" s="83">
        <v>1</v>
      </c>
      <c r="B49" s="83">
        <v>40.4</v>
      </c>
      <c r="C49" s="56">
        <v>5736800</v>
      </c>
      <c r="D49" s="56">
        <f t="shared" si="4"/>
        <v>142000</v>
      </c>
      <c r="E49" s="55" t="s">
        <v>27</v>
      </c>
      <c r="F49" s="36" t="s">
        <v>13</v>
      </c>
      <c r="G49" s="35">
        <v>1</v>
      </c>
      <c r="H49" s="64">
        <f t="shared" si="5"/>
        <v>5736800</v>
      </c>
    </row>
    <row r="50" spans="1:8" x14ac:dyDescent="0.2">
      <c r="A50" s="83">
        <v>1</v>
      </c>
      <c r="B50" s="83">
        <v>40.4</v>
      </c>
      <c r="C50" s="56">
        <v>5736800</v>
      </c>
      <c r="D50" s="56">
        <f t="shared" si="4"/>
        <v>142000</v>
      </c>
      <c r="E50" s="55" t="s">
        <v>136</v>
      </c>
      <c r="F50" s="36" t="s">
        <v>13</v>
      </c>
      <c r="G50" s="35">
        <v>2</v>
      </c>
      <c r="H50" s="64">
        <f t="shared" si="5"/>
        <v>11473600</v>
      </c>
    </row>
    <row r="51" spans="1:8" x14ac:dyDescent="0.2">
      <c r="A51" s="83">
        <v>2</v>
      </c>
      <c r="B51" s="83">
        <v>40.4</v>
      </c>
      <c r="C51" s="56">
        <v>6060000</v>
      </c>
      <c r="D51" s="56">
        <f t="shared" si="4"/>
        <v>150000</v>
      </c>
      <c r="E51" s="55" t="s">
        <v>28</v>
      </c>
      <c r="F51" s="36" t="s">
        <v>13</v>
      </c>
      <c r="G51" s="35">
        <v>1</v>
      </c>
      <c r="H51" s="64">
        <f t="shared" si="5"/>
        <v>6060000</v>
      </c>
    </row>
    <row r="52" spans="1:8" x14ac:dyDescent="0.2">
      <c r="A52" s="83">
        <v>1</v>
      </c>
      <c r="B52" s="83">
        <v>40.4</v>
      </c>
      <c r="C52" s="56">
        <v>6310480</v>
      </c>
      <c r="D52" s="56">
        <f t="shared" si="4"/>
        <v>156200</v>
      </c>
      <c r="E52" s="55" t="s">
        <v>30</v>
      </c>
      <c r="F52" s="36" t="s">
        <v>13</v>
      </c>
      <c r="G52" s="35">
        <v>1</v>
      </c>
      <c r="H52" s="64">
        <f t="shared" si="5"/>
        <v>6310480</v>
      </c>
    </row>
    <row r="53" spans="1:8" x14ac:dyDescent="0.2">
      <c r="A53" s="83">
        <v>1</v>
      </c>
      <c r="B53" s="83">
        <v>40.4</v>
      </c>
      <c r="C53" s="56">
        <v>6310480</v>
      </c>
      <c r="D53" s="56">
        <f t="shared" si="4"/>
        <v>156200</v>
      </c>
      <c r="E53" s="55" t="s">
        <v>30</v>
      </c>
      <c r="F53" s="36" t="s">
        <v>13</v>
      </c>
      <c r="G53" s="35">
        <v>1</v>
      </c>
      <c r="H53" s="64">
        <f t="shared" si="5"/>
        <v>6310480</v>
      </c>
    </row>
    <row r="54" spans="1:8" x14ac:dyDescent="0.2">
      <c r="A54" s="83">
        <v>2</v>
      </c>
      <c r="B54" s="83">
        <v>40.4</v>
      </c>
      <c r="C54" s="56">
        <v>6666000</v>
      </c>
      <c r="D54" s="56">
        <f t="shared" si="4"/>
        <v>165000</v>
      </c>
      <c r="E54" s="55" t="s">
        <v>30</v>
      </c>
      <c r="F54" s="36" t="s">
        <v>13</v>
      </c>
      <c r="G54" s="35">
        <v>1</v>
      </c>
      <c r="H54" s="64">
        <f t="shared" si="5"/>
        <v>6666000</v>
      </c>
    </row>
    <row r="55" spans="1:8" x14ac:dyDescent="0.2">
      <c r="A55" s="83">
        <v>2</v>
      </c>
      <c r="B55" s="83">
        <v>40.700000000000003</v>
      </c>
      <c r="C55" s="56">
        <v>6756200</v>
      </c>
      <c r="D55" s="56">
        <f t="shared" si="4"/>
        <v>166000</v>
      </c>
      <c r="E55" s="55" t="s">
        <v>15</v>
      </c>
      <c r="F55" s="36" t="s">
        <v>13</v>
      </c>
      <c r="G55" s="35">
        <v>1</v>
      </c>
      <c r="H55" s="64">
        <f t="shared" si="5"/>
        <v>6756200</v>
      </c>
    </row>
    <row r="56" spans="1:8" x14ac:dyDescent="0.2">
      <c r="A56" s="83">
        <v>2</v>
      </c>
      <c r="B56" s="83">
        <v>42.7</v>
      </c>
      <c r="C56" s="56">
        <v>7130900</v>
      </c>
      <c r="D56" s="56">
        <f t="shared" si="4"/>
        <v>167000</v>
      </c>
      <c r="E56" s="55" t="s">
        <v>33</v>
      </c>
      <c r="F56" s="36" t="s">
        <v>13</v>
      </c>
      <c r="G56" s="35">
        <v>1</v>
      </c>
      <c r="H56" s="64">
        <f t="shared" si="5"/>
        <v>7130900</v>
      </c>
    </row>
    <row r="57" spans="1:8" x14ac:dyDescent="0.2">
      <c r="A57" s="83">
        <v>2</v>
      </c>
      <c r="B57" s="83">
        <v>54.4</v>
      </c>
      <c r="C57" s="56">
        <v>7888000</v>
      </c>
      <c r="D57" s="56">
        <f t="shared" si="4"/>
        <v>145000</v>
      </c>
      <c r="E57" s="55" t="s">
        <v>15</v>
      </c>
      <c r="F57" s="36" t="s">
        <v>13</v>
      </c>
      <c r="G57" s="35">
        <v>1</v>
      </c>
      <c r="H57" s="64">
        <f t="shared" si="5"/>
        <v>7888000</v>
      </c>
    </row>
    <row r="58" spans="1:8" x14ac:dyDescent="0.2">
      <c r="A58" s="83">
        <v>2</v>
      </c>
      <c r="B58" s="83">
        <v>55.4</v>
      </c>
      <c r="C58" s="56">
        <v>8033000</v>
      </c>
      <c r="D58" s="56">
        <f t="shared" si="4"/>
        <v>145000</v>
      </c>
      <c r="E58" s="55" t="s">
        <v>15</v>
      </c>
      <c r="F58" s="36" t="s">
        <v>13</v>
      </c>
      <c r="G58" s="35">
        <v>1</v>
      </c>
      <c r="H58" s="64">
        <f t="shared" si="5"/>
        <v>8033000</v>
      </c>
    </row>
    <row r="59" spans="1:8" x14ac:dyDescent="0.2">
      <c r="A59" s="83">
        <v>2</v>
      </c>
      <c r="B59" s="83">
        <v>57.2</v>
      </c>
      <c r="C59" s="56">
        <v>8351200</v>
      </c>
      <c r="D59" s="56">
        <f t="shared" si="4"/>
        <v>146000</v>
      </c>
      <c r="E59" s="55" t="s">
        <v>27</v>
      </c>
      <c r="F59" s="36" t="s">
        <v>13</v>
      </c>
      <c r="G59" s="35">
        <v>1</v>
      </c>
      <c r="H59" s="64">
        <f t="shared" si="5"/>
        <v>8351200</v>
      </c>
    </row>
    <row r="60" spans="1:8" x14ac:dyDescent="0.2">
      <c r="A60" s="83">
        <v>2</v>
      </c>
      <c r="B60" s="83">
        <v>57.2</v>
      </c>
      <c r="C60" s="56">
        <v>9186320</v>
      </c>
      <c r="D60" s="56">
        <f t="shared" si="4"/>
        <v>160600</v>
      </c>
      <c r="E60" s="55" t="s">
        <v>30</v>
      </c>
      <c r="F60" s="36" t="s">
        <v>13</v>
      </c>
      <c r="G60" s="35">
        <v>1</v>
      </c>
      <c r="H60" s="64">
        <f t="shared" si="5"/>
        <v>9186320</v>
      </c>
    </row>
    <row r="61" spans="1:8" x14ac:dyDescent="0.2">
      <c r="A61" s="83">
        <v>2</v>
      </c>
      <c r="B61" s="83">
        <v>59.8</v>
      </c>
      <c r="C61" s="56">
        <v>8730800</v>
      </c>
      <c r="D61" s="56">
        <f t="shared" si="4"/>
        <v>146000</v>
      </c>
      <c r="E61" s="55" t="s">
        <v>27</v>
      </c>
      <c r="F61" s="36" t="s">
        <v>13</v>
      </c>
      <c r="G61" s="35">
        <v>1</v>
      </c>
      <c r="H61" s="64">
        <f t="shared" si="5"/>
        <v>8730800</v>
      </c>
    </row>
    <row r="62" spans="1:8" x14ac:dyDescent="0.2">
      <c r="A62" s="83">
        <v>2</v>
      </c>
      <c r="B62" s="83">
        <v>59.8</v>
      </c>
      <c r="C62" s="56">
        <v>9603880</v>
      </c>
      <c r="D62" s="56">
        <f t="shared" si="4"/>
        <v>160600</v>
      </c>
      <c r="E62" s="55" t="s">
        <v>30</v>
      </c>
      <c r="F62" s="36" t="s">
        <v>13</v>
      </c>
      <c r="G62" s="35">
        <v>1</v>
      </c>
      <c r="H62" s="64">
        <f t="shared" si="5"/>
        <v>9603880</v>
      </c>
    </row>
    <row r="63" spans="1:8" x14ac:dyDescent="0.2">
      <c r="A63" s="83">
        <v>2</v>
      </c>
      <c r="B63" s="83">
        <v>60.2</v>
      </c>
      <c r="C63" s="56">
        <v>8548400</v>
      </c>
      <c r="D63" s="56">
        <f t="shared" si="4"/>
        <v>142000</v>
      </c>
      <c r="E63" s="55" t="s">
        <v>17</v>
      </c>
      <c r="F63" s="36" t="s">
        <v>13</v>
      </c>
      <c r="G63" s="35">
        <v>1</v>
      </c>
      <c r="H63" s="64">
        <f t="shared" si="5"/>
        <v>8548400</v>
      </c>
    </row>
    <row r="64" spans="1:8" x14ac:dyDescent="0.2">
      <c r="A64" s="83">
        <v>2</v>
      </c>
      <c r="B64" s="83">
        <v>60.9</v>
      </c>
      <c r="C64" s="56">
        <v>7429800</v>
      </c>
      <c r="D64" s="56">
        <f t="shared" si="4"/>
        <v>122000</v>
      </c>
      <c r="E64" s="55" t="s">
        <v>15</v>
      </c>
      <c r="F64" s="36" t="s">
        <v>13</v>
      </c>
      <c r="G64" s="35">
        <v>1</v>
      </c>
      <c r="H64" s="64">
        <f t="shared" si="5"/>
        <v>7429800</v>
      </c>
    </row>
    <row r="65" spans="1:8" x14ac:dyDescent="0.2">
      <c r="A65" s="83">
        <v>2</v>
      </c>
      <c r="B65" s="83">
        <v>62</v>
      </c>
      <c r="C65" s="56">
        <v>7564000</v>
      </c>
      <c r="D65" s="56">
        <f t="shared" si="4"/>
        <v>122000</v>
      </c>
      <c r="E65" s="55" t="s">
        <v>49</v>
      </c>
      <c r="F65" s="36" t="s">
        <v>13</v>
      </c>
      <c r="G65" s="35">
        <v>2</v>
      </c>
      <c r="H65" s="64">
        <f t="shared" si="5"/>
        <v>15128000</v>
      </c>
    </row>
    <row r="66" spans="1:8" x14ac:dyDescent="0.2">
      <c r="A66" s="83">
        <v>2</v>
      </c>
      <c r="B66" s="85" t="s">
        <v>114</v>
      </c>
      <c r="C66" s="56">
        <v>7747000</v>
      </c>
      <c r="D66" s="56">
        <f t="shared" si="4"/>
        <v>122000</v>
      </c>
      <c r="E66" s="55" t="s">
        <v>34</v>
      </c>
      <c r="F66" s="36" t="s">
        <v>13</v>
      </c>
      <c r="G66" s="35">
        <v>1</v>
      </c>
      <c r="H66" s="64">
        <f t="shared" si="5"/>
        <v>7747000</v>
      </c>
    </row>
    <row r="67" spans="1:8" x14ac:dyDescent="0.2">
      <c r="A67" s="83">
        <v>2</v>
      </c>
      <c r="B67" s="85" t="s">
        <v>114</v>
      </c>
      <c r="C67" s="56">
        <v>7810500</v>
      </c>
      <c r="D67" s="56">
        <f t="shared" si="4"/>
        <v>123000</v>
      </c>
      <c r="E67" s="55" t="s">
        <v>27</v>
      </c>
      <c r="F67" s="36" t="s">
        <v>13</v>
      </c>
      <c r="G67" s="35">
        <v>1</v>
      </c>
      <c r="H67" s="64">
        <f t="shared" si="5"/>
        <v>7810500</v>
      </c>
    </row>
    <row r="68" spans="1:8" x14ac:dyDescent="0.2">
      <c r="A68" s="83">
        <v>2</v>
      </c>
      <c r="B68" s="85" t="s">
        <v>114</v>
      </c>
      <c r="C68" s="56">
        <v>9080500</v>
      </c>
      <c r="D68" s="56">
        <f t="shared" si="4"/>
        <v>143000</v>
      </c>
      <c r="E68" s="55" t="s">
        <v>115</v>
      </c>
      <c r="F68" s="36" t="s">
        <v>13</v>
      </c>
      <c r="G68" s="35">
        <v>1</v>
      </c>
      <c r="H68" s="64">
        <f t="shared" si="5"/>
        <v>9080500</v>
      </c>
    </row>
    <row r="69" spans="1:8" x14ac:dyDescent="0.2">
      <c r="A69" s="83">
        <v>2</v>
      </c>
      <c r="B69" s="83">
        <v>63.5</v>
      </c>
      <c r="C69" s="56">
        <v>8591550</v>
      </c>
      <c r="D69" s="56">
        <f t="shared" si="4"/>
        <v>135300</v>
      </c>
      <c r="E69" s="55" t="s">
        <v>30</v>
      </c>
      <c r="F69" s="36" t="s">
        <v>13</v>
      </c>
      <c r="G69" s="35">
        <v>1</v>
      </c>
      <c r="H69" s="64">
        <f t="shared" si="5"/>
        <v>8591550</v>
      </c>
    </row>
    <row r="70" spans="1:8" x14ac:dyDescent="0.2">
      <c r="A70" s="83">
        <v>2</v>
      </c>
      <c r="B70" s="83">
        <v>63.5</v>
      </c>
      <c r="C70" s="56">
        <v>9988550</v>
      </c>
      <c r="D70" s="56">
        <f t="shared" si="4"/>
        <v>157300</v>
      </c>
      <c r="E70" s="55" t="s">
        <v>37</v>
      </c>
      <c r="F70" s="36" t="s">
        <v>13</v>
      </c>
      <c r="G70" s="35">
        <v>1</v>
      </c>
      <c r="H70" s="64">
        <f t="shared" si="5"/>
        <v>9988550</v>
      </c>
    </row>
    <row r="71" spans="1:8" x14ac:dyDescent="0.2">
      <c r="A71" s="83">
        <v>3</v>
      </c>
      <c r="B71" s="83">
        <v>65.099999999999994</v>
      </c>
      <c r="C71" s="56">
        <v>8658300</v>
      </c>
      <c r="D71" s="56">
        <f t="shared" si="4"/>
        <v>133000</v>
      </c>
      <c r="E71" s="55" t="s">
        <v>15</v>
      </c>
      <c r="F71" s="36" t="s">
        <v>13</v>
      </c>
      <c r="G71" s="35">
        <v>1</v>
      </c>
      <c r="H71" s="64">
        <f t="shared" si="5"/>
        <v>8658300</v>
      </c>
    </row>
    <row r="72" spans="1:8" x14ac:dyDescent="0.2">
      <c r="A72" s="83">
        <v>3</v>
      </c>
      <c r="B72" s="83">
        <v>65.5</v>
      </c>
      <c r="C72" s="56">
        <v>8711500</v>
      </c>
      <c r="D72" s="56">
        <f t="shared" si="4"/>
        <v>133000</v>
      </c>
      <c r="E72" s="55" t="s">
        <v>15</v>
      </c>
      <c r="F72" s="36" t="s">
        <v>13</v>
      </c>
      <c r="G72" s="35">
        <v>1</v>
      </c>
      <c r="H72" s="64">
        <f t="shared" si="5"/>
        <v>8711500</v>
      </c>
    </row>
    <row r="73" spans="1:8" x14ac:dyDescent="0.2">
      <c r="A73" s="83">
        <v>2</v>
      </c>
      <c r="B73" s="83">
        <v>66.5</v>
      </c>
      <c r="C73" s="56">
        <v>8113000</v>
      </c>
      <c r="D73" s="56">
        <f t="shared" si="4"/>
        <v>122000</v>
      </c>
      <c r="E73" s="55" t="s">
        <v>49</v>
      </c>
      <c r="F73" s="36" t="s">
        <v>13</v>
      </c>
      <c r="G73" s="35">
        <v>2</v>
      </c>
      <c r="H73" s="64">
        <f t="shared" si="5"/>
        <v>16226000</v>
      </c>
    </row>
    <row r="74" spans="1:8" x14ac:dyDescent="0.2">
      <c r="A74" s="83">
        <v>2</v>
      </c>
      <c r="B74" s="83">
        <v>66.5</v>
      </c>
      <c r="C74" s="56">
        <v>8113000</v>
      </c>
      <c r="D74" s="56">
        <f t="shared" si="4"/>
        <v>122000</v>
      </c>
      <c r="E74" s="55" t="s">
        <v>15</v>
      </c>
      <c r="F74" s="36" t="s">
        <v>13</v>
      </c>
      <c r="G74" s="35">
        <v>1</v>
      </c>
      <c r="H74" s="64">
        <f t="shared" si="5"/>
        <v>8113000</v>
      </c>
    </row>
    <row r="75" spans="1:8" x14ac:dyDescent="0.2">
      <c r="A75" s="83">
        <v>3</v>
      </c>
      <c r="B75" s="83">
        <v>67.099999999999994</v>
      </c>
      <c r="C75" s="56">
        <v>8924300</v>
      </c>
      <c r="D75" s="56">
        <f t="shared" si="4"/>
        <v>133000</v>
      </c>
      <c r="E75" s="55" t="s">
        <v>15</v>
      </c>
      <c r="F75" s="36" t="s">
        <v>13</v>
      </c>
      <c r="G75" s="35">
        <v>1</v>
      </c>
      <c r="H75" s="64">
        <f t="shared" si="5"/>
        <v>8924300</v>
      </c>
    </row>
    <row r="76" spans="1:8" x14ac:dyDescent="0.2">
      <c r="A76" s="83">
        <v>3</v>
      </c>
      <c r="B76" s="83">
        <v>67.099999999999994</v>
      </c>
      <c r="C76" s="56">
        <v>8924300</v>
      </c>
      <c r="D76" s="56">
        <f t="shared" ref="D76" si="6">C76/B76</f>
        <v>133000</v>
      </c>
      <c r="E76" s="55" t="s">
        <v>15</v>
      </c>
      <c r="F76" s="36" t="s">
        <v>13</v>
      </c>
      <c r="G76" s="35">
        <v>1</v>
      </c>
      <c r="H76" s="64">
        <f t="shared" ref="H76" si="7">G76*C76</f>
        <v>8924300</v>
      </c>
    </row>
    <row r="77" spans="1:8" x14ac:dyDescent="0.2">
      <c r="A77" s="83">
        <v>3</v>
      </c>
      <c r="B77" s="83">
        <v>67.5</v>
      </c>
      <c r="C77" s="56">
        <v>8977500</v>
      </c>
      <c r="D77" s="56">
        <f t="shared" si="4"/>
        <v>133000</v>
      </c>
      <c r="E77" s="55" t="s">
        <v>15</v>
      </c>
      <c r="F77" s="36" t="s">
        <v>13</v>
      </c>
      <c r="G77" s="35">
        <v>1</v>
      </c>
      <c r="H77" s="64">
        <f t="shared" si="5"/>
        <v>8977500</v>
      </c>
    </row>
    <row r="78" spans="1:8" x14ac:dyDescent="0.2">
      <c r="A78" s="83">
        <v>2</v>
      </c>
      <c r="B78" s="83">
        <v>67.7</v>
      </c>
      <c r="C78" s="56">
        <v>8259400</v>
      </c>
      <c r="D78" s="56">
        <f t="shared" si="4"/>
        <v>122000</v>
      </c>
      <c r="E78" s="55" t="s">
        <v>34</v>
      </c>
      <c r="F78" s="36" t="s">
        <v>13</v>
      </c>
      <c r="G78" s="35">
        <v>1</v>
      </c>
      <c r="H78" s="64">
        <f t="shared" si="5"/>
        <v>8259400</v>
      </c>
    </row>
    <row r="79" spans="1:8" x14ac:dyDescent="0.2">
      <c r="A79" s="83">
        <v>2</v>
      </c>
      <c r="B79" s="83">
        <v>67.7</v>
      </c>
      <c r="C79" s="56">
        <v>8327100</v>
      </c>
      <c r="D79" s="56">
        <f t="shared" si="4"/>
        <v>123000</v>
      </c>
      <c r="E79" s="55" t="s">
        <v>28</v>
      </c>
      <c r="F79" s="36" t="s">
        <v>13</v>
      </c>
      <c r="G79" s="35">
        <v>1</v>
      </c>
      <c r="H79" s="64">
        <f t="shared" si="5"/>
        <v>8327100</v>
      </c>
    </row>
    <row r="80" spans="1:8" x14ac:dyDescent="0.2">
      <c r="A80" s="83">
        <v>2</v>
      </c>
      <c r="B80" s="83">
        <v>67.7</v>
      </c>
      <c r="C80" s="56">
        <v>9159810</v>
      </c>
      <c r="D80" s="56">
        <f t="shared" si="4"/>
        <v>135300</v>
      </c>
      <c r="E80" s="55" t="s">
        <v>30</v>
      </c>
      <c r="F80" s="36" t="s">
        <v>13</v>
      </c>
      <c r="G80" s="35">
        <v>1</v>
      </c>
      <c r="H80" s="64">
        <f t="shared" si="5"/>
        <v>9159810</v>
      </c>
    </row>
    <row r="81" spans="1:8" x14ac:dyDescent="0.2">
      <c r="A81" s="83">
        <v>3</v>
      </c>
      <c r="B81" s="83">
        <v>68</v>
      </c>
      <c r="C81" s="56">
        <v>8704000</v>
      </c>
      <c r="D81" s="56">
        <f t="shared" si="4"/>
        <v>128000</v>
      </c>
      <c r="E81" s="55" t="s">
        <v>15</v>
      </c>
      <c r="F81" s="36" t="s">
        <v>13</v>
      </c>
      <c r="G81" s="35">
        <v>1</v>
      </c>
      <c r="H81" s="64">
        <f t="shared" si="5"/>
        <v>8704000</v>
      </c>
    </row>
    <row r="82" spans="1:8" x14ac:dyDescent="0.2">
      <c r="A82" s="83">
        <v>3</v>
      </c>
      <c r="B82" s="83">
        <v>68</v>
      </c>
      <c r="C82" s="56">
        <v>8704000</v>
      </c>
      <c r="D82" s="56">
        <f t="shared" si="4"/>
        <v>128000</v>
      </c>
      <c r="E82" s="55" t="s">
        <v>18</v>
      </c>
      <c r="F82" s="36" t="s">
        <v>13</v>
      </c>
      <c r="G82" s="35">
        <v>1</v>
      </c>
      <c r="H82" s="64">
        <f t="shared" si="5"/>
        <v>8704000</v>
      </c>
    </row>
    <row r="83" spans="1:8" x14ac:dyDescent="0.2">
      <c r="A83" s="83">
        <v>3</v>
      </c>
      <c r="B83" s="83">
        <v>68</v>
      </c>
      <c r="C83" s="56">
        <v>9044000</v>
      </c>
      <c r="D83" s="56">
        <f t="shared" si="4"/>
        <v>133000</v>
      </c>
      <c r="E83" s="55" t="s">
        <v>49</v>
      </c>
      <c r="F83" s="36" t="s">
        <v>13</v>
      </c>
      <c r="G83" s="35">
        <v>2</v>
      </c>
      <c r="H83" s="64">
        <f t="shared" si="5"/>
        <v>18088000</v>
      </c>
    </row>
    <row r="84" spans="1:8" x14ac:dyDescent="0.2">
      <c r="A84" s="83">
        <v>3</v>
      </c>
      <c r="B84" s="83">
        <v>69.400000000000006</v>
      </c>
      <c r="C84" s="56">
        <v>9299600</v>
      </c>
      <c r="D84" s="56">
        <f t="shared" si="4"/>
        <v>134000</v>
      </c>
      <c r="E84" s="55" t="s">
        <v>33</v>
      </c>
      <c r="F84" s="36" t="s">
        <v>13</v>
      </c>
      <c r="G84" s="35">
        <v>1</v>
      </c>
      <c r="H84" s="64">
        <f t="shared" si="5"/>
        <v>9299600</v>
      </c>
    </row>
    <row r="85" spans="1:8" x14ac:dyDescent="0.2">
      <c r="A85" s="83">
        <v>3</v>
      </c>
      <c r="B85" s="83">
        <v>69.400000000000006</v>
      </c>
      <c r="C85" s="56">
        <v>10229560</v>
      </c>
      <c r="D85" s="56">
        <f t="shared" si="4"/>
        <v>147400</v>
      </c>
      <c r="E85" s="55" t="s">
        <v>30</v>
      </c>
      <c r="F85" s="36" t="s">
        <v>13</v>
      </c>
      <c r="G85" s="35">
        <v>1</v>
      </c>
      <c r="H85" s="64">
        <f t="shared" si="5"/>
        <v>10229560</v>
      </c>
    </row>
    <row r="86" spans="1:8" x14ac:dyDescent="0.2">
      <c r="A86" s="83">
        <v>3</v>
      </c>
      <c r="B86" s="83">
        <v>71.099999999999994</v>
      </c>
      <c r="C86" s="56">
        <v>9171900</v>
      </c>
      <c r="D86" s="56">
        <f t="shared" si="4"/>
        <v>129000.00000000001</v>
      </c>
      <c r="E86" s="55" t="s">
        <v>33</v>
      </c>
      <c r="F86" s="36" t="s">
        <v>13</v>
      </c>
      <c r="G86" s="35">
        <v>1</v>
      </c>
      <c r="H86" s="64">
        <f t="shared" si="5"/>
        <v>9171900</v>
      </c>
    </row>
    <row r="87" spans="1:8" x14ac:dyDescent="0.2">
      <c r="A87" s="83">
        <v>3</v>
      </c>
      <c r="B87" s="83">
        <v>71.099999999999994</v>
      </c>
      <c r="C87" s="56">
        <v>10096200</v>
      </c>
      <c r="D87" s="56">
        <f t="shared" si="4"/>
        <v>142000</v>
      </c>
      <c r="E87" s="55" t="s">
        <v>30</v>
      </c>
      <c r="F87" s="36" t="s">
        <v>13</v>
      </c>
      <c r="G87" s="35">
        <v>1</v>
      </c>
      <c r="H87" s="64">
        <f t="shared" si="5"/>
        <v>10096200</v>
      </c>
    </row>
    <row r="88" spans="1:8" x14ac:dyDescent="0.2">
      <c r="A88" s="83">
        <v>2</v>
      </c>
      <c r="B88" s="83">
        <v>72.3</v>
      </c>
      <c r="C88" s="56">
        <v>8386800</v>
      </c>
      <c r="D88" s="56">
        <f>C88/B88</f>
        <v>116000</v>
      </c>
      <c r="E88" s="55" t="s">
        <v>15</v>
      </c>
      <c r="F88" s="36" t="s">
        <v>13</v>
      </c>
      <c r="G88" s="35">
        <v>1</v>
      </c>
      <c r="H88" s="64">
        <f t="shared" si="5"/>
        <v>8386800</v>
      </c>
    </row>
    <row r="89" spans="1:8" x14ac:dyDescent="0.2">
      <c r="A89" s="83">
        <v>2</v>
      </c>
      <c r="B89" s="83">
        <v>72.3</v>
      </c>
      <c r="C89" s="56">
        <v>8386800</v>
      </c>
      <c r="D89" s="56">
        <f t="shared" si="4"/>
        <v>116000</v>
      </c>
      <c r="E89" s="55" t="s">
        <v>14</v>
      </c>
      <c r="F89" s="36" t="s">
        <v>13</v>
      </c>
      <c r="G89" s="35">
        <v>1</v>
      </c>
      <c r="H89" s="64">
        <f t="shared" si="5"/>
        <v>8386800</v>
      </c>
    </row>
    <row r="90" spans="1:8" x14ac:dyDescent="0.2">
      <c r="A90" s="83">
        <v>3</v>
      </c>
      <c r="B90" s="83">
        <v>74</v>
      </c>
      <c r="C90" s="56">
        <v>8732000</v>
      </c>
      <c r="D90" s="56">
        <f t="shared" si="4"/>
        <v>118000</v>
      </c>
      <c r="E90" s="55" t="s">
        <v>15</v>
      </c>
      <c r="F90" s="36" t="s">
        <v>13</v>
      </c>
      <c r="G90" s="35">
        <v>1</v>
      </c>
      <c r="H90" s="64">
        <f t="shared" si="5"/>
        <v>8732000</v>
      </c>
    </row>
    <row r="91" spans="1:8" x14ac:dyDescent="0.2">
      <c r="A91" s="83">
        <v>3</v>
      </c>
      <c r="B91" s="83">
        <v>74</v>
      </c>
      <c r="C91" s="56">
        <v>8732000</v>
      </c>
      <c r="D91" s="56">
        <f t="shared" si="4"/>
        <v>118000</v>
      </c>
      <c r="E91" s="55" t="s">
        <v>14</v>
      </c>
      <c r="F91" s="36" t="s">
        <v>13</v>
      </c>
      <c r="G91" s="35">
        <v>1</v>
      </c>
      <c r="H91" s="64">
        <f t="shared" si="5"/>
        <v>8732000</v>
      </c>
    </row>
    <row r="92" spans="1:8" x14ac:dyDescent="0.2">
      <c r="A92" s="83">
        <v>3</v>
      </c>
      <c r="B92" s="83">
        <v>75.3</v>
      </c>
      <c r="C92" s="56">
        <v>9186600</v>
      </c>
      <c r="D92" s="56">
        <f t="shared" si="4"/>
        <v>122000</v>
      </c>
      <c r="E92" s="55" t="s">
        <v>49</v>
      </c>
      <c r="F92" s="36" t="s">
        <v>13</v>
      </c>
      <c r="G92" s="35">
        <v>2</v>
      </c>
      <c r="H92" s="64">
        <f t="shared" si="5"/>
        <v>18373200</v>
      </c>
    </row>
    <row r="93" spans="1:8" x14ac:dyDescent="0.2">
      <c r="A93" s="83">
        <v>3</v>
      </c>
      <c r="B93" s="83">
        <v>75.400000000000006</v>
      </c>
      <c r="C93" s="56">
        <v>8821800</v>
      </c>
      <c r="D93" s="56">
        <f t="shared" si="4"/>
        <v>116999.99999999999</v>
      </c>
      <c r="E93" s="55" t="s">
        <v>18</v>
      </c>
      <c r="F93" s="36" t="s">
        <v>13</v>
      </c>
      <c r="G93" s="35">
        <v>1</v>
      </c>
      <c r="H93" s="64">
        <f t="shared" si="5"/>
        <v>8821800</v>
      </c>
    </row>
    <row r="94" spans="1:8" x14ac:dyDescent="0.2">
      <c r="A94" s="83">
        <v>3</v>
      </c>
      <c r="B94" s="83">
        <v>75.400000000000006</v>
      </c>
      <c r="C94" s="56">
        <v>9726600</v>
      </c>
      <c r="D94" s="56">
        <f t="shared" si="4"/>
        <v>128999.99999999999</v>
      </c>
      <c r="E94" s="55" t="s">
        <v>14</v>
      </c>
      <c r="F94" s="36" t="s">
        <v>13</v>
      </c>
      <c r="G94" s="35">
        <v>1</v>
      </c>
      <c r="H94" s="64">
        <f t="shared" si="5"/>
        <v>9726600</v>
      </c>
    </row>
    <row r="95" spans="1:8" x14ac:dyDescent="0.2">
      <c r="A95" s="83">
        <v>3</v>
      </c>
      <c r="B95" s="83">
        <v>75.5</v>
      </c>
      <c r="C95" s="56">
        <v>8909000</v>
      </c>
      <c r="D95" s="56">
        <f t="shared" si="4"/>
        <v>118000</v>
      </c>
      <c r="E95" s="55" t="s">
        <v>133</v>
      </c>
      <c r="F95" s="36" t="s">
        <v>13</v>
      </c>
      <c r="G95" s="35">
        <v>2</v>
      </c>
      <c r="H95" s="64">
        <f t="shared" si="5"/>
        <v>17818000</v>
      </c>
    </row>
    <row r="96" spans="1:8" x14ac:dyDescent="0.2">
      <c r="A96" s="83">
        <v>3</v>
      </c>
      <c r="B96" s="83">
        <v>75.8</v>
      </c>
      <c r="C96" s="56">
        <v>9323400</v>
      </c>
      <c r="D96" s="56">
        <f t="shared" si="4"/>
        <v>123000</v>
      </c>
      <c r="E96" s="55" t="s">
        <v>49</v>
      </c>
      <c r="F96" s="36" t="s">
        <v>13</v>
      </c>
      <c r="G96" s="35">
        <v>2</v>
      </c>
      <c r="H96" s="64">
        <f t="shared" ref="H96:H109" si="8">G96*C96</f>
        <v>18646800</v>
      </c>
    </row>
    <row r="97" spans="1:8" x14ac:dyDescent="0.2">
      <c r="A97" s="83">
        <v>2</v>
      </c>
      <c r="B97" s="83">
        <v>76</v>
      </c>
      <c r="C97" s="56">
        <v>8816000</v>
      </c>
      <c r="D97" s="56">
        <f t="shared" si="4"/>
        <v>116000</v>
      </c>
      <c r="E97" s="55" t="s">
        <v>133</v>
      </c>
      <c r="F97" s="36" t="s">
        <v>13</v>
      </c>
      <c r="G97" s="35">
        <v>2</v>
      </c>
      <c r="H97" s="64">
        <f t="shared" si="8"/>
        <v>17632000</v>
      </c>
    </row>
    <row r="98" spans="1:8" x14ac:dyDescent="0.2">
      <c r="A98" s="83">
        <v>3</v>
      </c>
      <c r="B98" s="83">
        <v>76.7</v>
      </c>
      <c r="C98" s="56">
        <v>9434100</v>
      </c>
      <c r="D98" s="56">
        <f t="shared" si="4"/>
        <v>123000</v>
      </c>
      <c r="E98" s="55" t="s">
        <v>27</v>
      </c>
      <c r="F98" s="36" t="s">
        <v>13</v>
      </c>
      <c r="G98" s="35">
        <v>1</v>
      </c>
      <c r="H98" s="64">
        <f t="shared" si="8"/>
        <v>9434100</v>
      </c>
    </row>
    <row r="99" spans="1:8" x14ac:dyDescent="0.2">
      <c r="A99" s="83">
        <v>3</v>
      </c>
      <c r="B99" s="83">
        <v>76.7</v>
      </c>
      <c r="C99" s="56">
        <v>10377510</v>
      </c>
      <c r="D99" s="56">
        <f t="shared" si="4"/>
        <v>135300</v>
      </c>
      <c r="E99" s="55" t="s">
        <v>30</v>
      </c>
      <c r="F99" s="36" t="s">
        <v>13</v>
      </c>
      <c r="G99" s="35">
        <v>1</v>
      </c>
      <c r="H99" s="64">
        <f t="shared" si="8"/>
        <v>10377510</v>
      </c>
    </row>
    <row r="100" spans="1:8" x14ac:dyDescent="0.2">
      <c r="A100" s="83">
        <v>3</v>
      </c>
      <c r="B100" s="83">
        <v>76.8</v>
      </c>
      <c r="C100" s="56">
        <v>8985600</v>
      </c>
      <c r="D100" s="56">
        <f t="shared" si="4"/>
        <v>117000</v>
      </c>
      <c r="E100" s="55" t="s">
        <v>34</v>
      </c>
      <c r="F100" s="36" t="s">
        <v>13</v>
      </c>
      <c r="G100" s="35">
        <v>1</v>
      </c>
      <c r="H100" s="64">
        <f t="shared" si="8"/>
        <v>8985600</v>
      </c>
    </row>
    <row r="101" spans="1:8" x14ac:dyDescent="0.2">
      <c r="A101" s="83">
        <v>3</v>
      </c>
      <c r="B101" s="83">
        <v>76.8</v>
      </c>
      <c r="C101" s="56">
        <v>9062400</v>
      </c>
      <c r="D101" s="56">
        <f t="shared" si="4"/>
        <v>118000</v>
      </c>
      <c r="E101" s="55" t="s">
        <v>27</v>
      </c>
      <c r="F101" s="36" t="s">
        <v>13</v>
      </c>
      <c r="G101" s="35">
        <v>1</v>
      </c>
      <c r="H101" s="64">
        <f t="shared" si="8"/>
        <v>9062400</v>
      </c>
    </row>
    <row r="102" spans="1:8" x14ac:dyDescent="0.2">
      <c r="A102" s="83">
        <v>3</v>
      </c>
      <c r="B102" s="83">
        <v>76.8</v>
      </c>
      <c r="C102" s="56">
        <v>9968640</v>
      </c>
      <c r="D102" s="56">
        <f t="shared" si="4"/>
        <v>129800</v>
      </c>
      <c r="E102" s="55" t="s">
        <v>30</v>
      </c>
      <c r="F102" s="36" t="s">
        <v>13</v>
      </c>
      <c r="G102" s="35">
        <v>1</v>
      </c>
      <c r="H102" s="64">
        <f t="shared" si="8"/>
        <v>9968640</v>
      </c>
    </row>
    <row r="103" spans="1:8" x14ac:dyDescent="0.2">
      <c r="A103" s="83">
        <v>3</v>
      </c>
      <c r="B103" s="83">
        <v>76.900000000000006</v>
      </c>
      <c r="C103" s="56">
        <v>10996700</v>
      </c>
      <c r="D103" s="56">
        <f t="shared" si="4"/>
        <v>143000</v>
      </c>
      <c r="E103" s="55" t="s">
        <v>30</v>
      </c>
      <c r="F103" s="36" t="s">
        <v>13</v>
      </c>
      <c r="G103" s="35">
        <v>1</v>
      </c>
      <c r="H103" s="64">
        <f t="shared" si="8"/>
        <v>10996700</v>
      </c>
    </row>
    <row r="104" spans="1:8" x14ac:dyDescent="0.2">
      <c r="A104" s="83">
        <v>3</v>
      </c>
      <c r="B104" s="83">
        <v>77.2</v>
      </c>
      <c r="C104" s="56">
        <v>9572800</v>
      </c>
      <c r="D104" s="56">
        <f t="shared" si="4"/>
        <v>124000</v>
      </c>
      <c r="E104" s="55" t="s">
        <v>27</v>
      </c>
      <c r="F104" s="36" t="s">
        <v>13</v>
      </c>
      <c r="G104" s="35">
        <v>1</v>
      </c>
      <c r="H104" s="64">
        <f t="shared" si="8"/>
        <v>9572800</v>
      </c>
    </row>
    <row r="105" spans="1:8" x14ac:dyDescent="0.2">
      <c r="A105" s="83">
        <v>3</v>
      </c>
      <c r="B105" s="83">
        <v>77.2</v>
      </c>
      <c r="C105" s="56">
        <v>10530080</v>
      </c>
      <c r="D105" s="56">
        <f t="shared" si="4"/>
        <v>136400</v>
      </c>
      <c r="E105" s="55" t="s">
        <v>30</v>
      </c>
      <c r="F105" s="36" t="s">
        <v>13</v>
      </c>
      <c r="G105" s="35">
        <v>1</v>
      </c>
      <c r="H105" s="64">
        <f t="shared" si="8"/>
        <v>10530080</v>
      </c>
    </row>
    <row r="106" spans="1:8" x14ac:dyDescent="0.2">
      <c r="A106" s="83">
        <v>3</v>
      </c>
      <c r="B106" s="83">
        <v>78.900000000000006</v>
      </c>
      <c r="C106" s="87">
        <v>9389100</v>
      </c>
      <c r="D106" s="56">
        <f t="shared" si="4"/>
        <v>118999.99999999999</v>
      </c>
      <c r="E106" s="55" t="s">
        <v>143</v>
      </c>
      <c r="F106" s="36" t="s">
        <v>13</v>
      </c>
      <c r="G106" s="35">
        <v>2</v>
      </c>
      <c r="H106" s="64">
        <f t="shared" si="8"/>
        <v>18778200</v>
      </c>
    </row>
    <row r="107" spans="1:8" x14ac:dyDescent="0.2">
      <c r="A107" s="83">
        <v>3</v>
      </c>
      <c r="B107" s="83">
        <v>78.900000000000006</v>
      </c>
      <c r="C107" s="56">
        <v>10335900</v>
      </c>
      <c r="D107" s="56">
        <f t="shared" si="4"/>
        <v>130999.99999999999</v>
      </c>
      <c r="E107" s="55" t="s">
        <v>37</v>
      </c>
      <c r="F107" s="36" t="s">
        <v>13</v>
      </c>
      <c r="G107" s="35">
        <v>1</v>
      </c>
      <c r="H107" s="64">
        <f t="shared" si="8"/>
        <v>10335900</v>
      </c>
    </row>
    <row r="108" spans="1:8" x14ac:dyDescent="0.2">
      <c r="A108" s="83">
        <v>2</v>
      </c>
      <c r="B108" s="83">
        <v>80.099999999999994</v>
      </c>
      <c r="C108" s="56">
        <v>9371700</v>
      </c>
      <c r="D108" s="56">
        <f t="shared" ref="D108:D114" si="9">C108/B108</f>
        <v>117000.00000000001</v>
      </c>
      <c r="E108" s="55" t="s">
        <v>143</v>
      </c>
      <c r="F108" s="36" t="s">
        <v>13</v>
      </c>
      <c r="G108" s="35">
        <v>2</v>
      </c>
      <c r="H108" s="64">
        <f t="shared" si="8"/>
        <v>18743400</v>
      </c>
    </row>
    <row r="109" spans="1:8" x14ac:dyDescent="0.2">
      <c r="A109" s="83">
        <v>2</v>
      </c>
      <c r="B109" s="83">
        <v>80.099999999999994</v>
      </c>
      <c r="C109" s="87">
        <v>13424760</v>
      </c>
      <c r="D109" s="56">
        <f t="shared" si="9"/>
        <v>167600</v>
      </c>
      <c r="E109" s="55" t="s">
        <v>37</v>
      </c>
      <c r="F109" s="36" t="s">
        <v>13</v>
      </c>
      <c r="G109" s="35">
        <v>1</v>
      </c>
      <c r="H109" s="64">
        <f t="shared" si="8"/>
        <v>13424760</v>
      </c>
    </row>
    <row r="110" spans="1:8" x14ac:dyDescent="0.2">
      <c r="A110" s="83">
        <v>4</v>
      </c>
      <c r="B110" s="83">
        <v>94.8</v>
      </c>
      <c r="C110" s="56">
        <v>11186400</v>
      </c>
      <c r="D110" s="56">
        <f t="shared" si="9"/>
        <v>118000</v>
      </c>
      <c r="E110" s="55" t="s">
        <v>15</v>
      </c>
      <c r="F110" s="36" t="s">
        <v>13</v>
      </c>
      <c r="G110" s="35">
        <v>1</v>
      </c>
      <c r="H110" s="64">
        <f t="shared" ref="H110:H114" si="10">G110*C110</f>
        <v>11186400</v>
      </c>
    </row>
    <row r="111" spans="1:8" x14ac:dyDescent="0.2">
      <c r="A111" s="83">
        <v>4</v>
      </c>
      <c r="B111" s="83">
        <v>94.8</v>
      </c>
      <c r="C111" s="56">
        <v>11186400</v>
      </c>
      <c r="D111" s="56">
        <f t="shared" si="9"/>
        <v>118000</v>
      </c>
      <c r="E111" s="55" t="s">
        <v>14</v>
      </c>
      <c r="F111" s="36" t="s">
        <v>13</v>
      </c>
      <c r="G111" s="35">
        <v>1</v>
      </c>
      <c r="H111" s="64">
        <f t="shared" si="10"/>
        <v>11186400</v>
      </c>
    </row>
    <row r="112" spans="1:8" x14ac:dyDescent="0.2">
      <c r="A112" s="83">
        <v>4</v>
      </c>
      <c r="B112" s="83">
        <v>97</v>
      </c>
      <c r="C112" s="56">
        <v>11446000</v>
      </c>
      <c r="D112" s="56">
        <f t="shared" si="9"/>
        <v>118000</v>
      </c>
      <c r="E112" s="55" t="s">
        <v>133</v>
      </c>
      <c r="F112" s="36" t="s">
        <v>13</v>
      </c>
      <c r="G112" s="35">
        <v>2</v>
      </c>
      <c r="H112" s="64">
        <f t="shared" si="10"/>
        <v>22892000</v>
      </c>
    </row>
    <row r="113" spans="1:8" x14ac:dyDescent="0.2">
      <c r="A113" s="83">
        <v>4</v>
      </c>
      <c r="B113" s="83">
        <v>101.1</v>
      </c>
      <c r="C113" s="56">
        <v>12030900</v>
      </c>
      <c r="D113" s="56">
        <f t="shared" si="9"/>
        <v>119000</v>
      </c>
      <c r="E113" s="55" t="s">
        <v>186</v>
      </c>
      <c r="F113" s="36" t="s">
        <v>13</v>
      </c>
      <c r="G113" s="35">
        <v>3</v>
      </c>
      <c r="H113" s="64">
        <f t="shared" si="10"/>
        <v>36092700</v>
      </c>
    </row>
    <row r="114" spans="1:8" x14ac:dyDescent="0.2">
      <c r="A114" s="83">
        <v>4</v>
      </c>
      <c r="B114" s="83">
        <v>101.1</v>
      </c>
      <c r="C114" s="56">
        <v>13244100</v>
      </c>
      <c r="D114" s="56">
        <f t="shared" si="9"/>
        <v>131000.00000000001</v>
      </c>
      <c r="E114" s="55" t="s">
        <v>37</v>
      </c>
      <c r="F114" s="36" t="s">
        <v>13</v>
      </c>
      <c r="G114" s="35">
        <v>1</v>
      </c>
      <c r="H114" s="64">
        <f t="shared" si="10"/>
        <v>13244100</v>
      </c>
    </row>
    <row r="115" spans="1:8" x14ac:dyDescent="0.2">
      <c r="A115" s="282" t="s">
        <v>295</v>
      </c>
      <c r="B115" s="284"/>
      <c r="C115" s="284"/>
      <c r="D115" s="284"/>
      <c r="E115" s="284"/>
      <c r="F115" s="284"/>
      <c r="G115" s="8"/>
      <c r="H115" s="38"/>
    </row>
    <row r="116" spans="1:8" x14ac:dyDescent="0.2">
      <c r="A116" s="61" t="s">
        <v>6</v>
      </c>
      <c r="B116" s="67" t="s">
        <v>7</v>
      </c>
      <c r="C116" s="201" t="s">
        <v>8</v>
      </c>
      <c r="D116" s="201" t="s">
        <v>11</v>
      </c>
      <c r="E116" s="68" t="s">
        <v>10</v>
      </c>
      <c r="F116" s="67" t="s">
        <v>9</v>
      </c>
      <c r="G116" s="197"/>
      <c r="H116" s="6"/>
    </row>
    <row r="117" spans="1:8" x14ac:dyDescent="0.2">
      <c r="A117" s="83">
        <v>2</v>
      </c>
      <c r="B117" s="83">
        <v>41.6</v>
      </c>
      <c r="C117" s="6">
        <v>5865600</v>
      </c>
      <c r="D117" s="6">
        <f>C117/B117</f>
        <v>141000</v>
      </c>
      <c r="E117" s="198" t="s">
        <v>15</v>
      </c>
      <c r="F117" s="83" t="s">
        <v>41</v>
      </c>
      <c r="G117" s="197">
        <v>1</v>
      </c>
      <c r="H117" s="64">
        <f t="shared" ref="H117" si="11">G117*C117</f>
        <v>5865600</v>
      </c>
    </row>
    <row r="118" spans="1:8" x14ac:dyDescent="0.2">
      <c r="A118" s="282" t="s">
        <v>84</v>
      </c>
      <c r="B118" s="284"/>
      <c r="C118" s="284"/>
      <c r="D118" s="284"/>
      <c r="E118" s="284"/>
      <c r="F118" s="284"/>
      <c r="G118" s="46"/>
      <c r="H118" s="204"/>
    </row>
    <row r="119" spans="1:8" x14ac:dyDescent="0.2">
      <c r="A119" s="61" t="s">
        <v>6</v>
      </c>
      <c r="B119" s="67" t="s">
        <v>7</v>
      </c>
      <c r="C119" s="201" t="s">
        <v>8</v>
      </c>
      <c r="D119" s="201" t="s">
        <v>11</v>
      </c>
      <c r="E119" s="68" t="s">
        <v>10</v>
      </c>
      <c r="F119" s="67" t="s">
        <v>9</v>
      </c>
      <c r="G119" s="46"/>
      <c r="H119" s="204"/>
    </row>
    <row r="120" spans="1:8" x14ac:dyDescent="0.2">
      <c r="A120" s="83">
        <v>2</v>
      </c>
      <c r="B120" s="83">
        <v>51.5</v>
      </c>
      <c r="C120" s="56">
        <v>6077000</v>
      </c>
      <c r="D120" s="56">
        <f t="shared" ref="D120:D124" si="12">C120/B120</f>
        <v>118000</v>
      </c>
      <c r="E120" s="36">
        <v>14.16</v>
      </c>
      <c r="F120" s="36" t="s">
        <v>13</v>
      </c>
      <c r="G120" s="35">
        <v>2</v>
      </c>
      <c r="H120" s="64">
        <f t="shared" ref="H120:H124" si="13">G120*C120</f>
        <v>12154000</v>
      </c>
    </row>
    <row r="121" spans="1:8" x14ac:dyDescent="0.2">
      <c r="A121" s="83">
        <v>3</v>
      </c>
      <c r="B121" s="83">
        <v>51.6</v>
      </c>
      <c r="C121" s="56">
        <v>7378800</v>
      </c>
      <c r="D121" s="56">
        <f t="shared" si="12"/>
        <v>143000</v>
      </c>
      <c r="E121" s="36">
        <v>1</v>
      </c>
      <c r="F121" s="36" t="s">
        <v>13</v>
      </c>
      <c r="G121" s="35">
        <v>1</v>
      </c>
      <c r="H121" s="64">
        <f t="shared" si="13"/>
        <v>7378800</v>
      </c>
    </row>
    <row r="122" spans="1:8" x14ac:dyDescent="0.2">
      <c r="A122" s="83">
        <v>3</v>
      </c>
      <c r="B122" s="83">
        <v>51.7</v>
      </c>
      <c r="C122" s="56">
        <v>6410800</v>
      </c>
      <c r="D122" s="56">
        <f t="shared" si="12"/>
        <v>124000</v>
      </c>
      <c r="E122" s="36">
        <v>14</v>
      </c>
      <c r="F122" s="36" t="s">
        <v>13</v>
      </c>
      <c r="G122" s="35">
        <v>1</v>
      </c>
      <c r="H122" s="64">
        <f t="shared" si="13"/>
        <v>6410800</v>
      </c>
    </row>
    <row r="123" spans="1:8" x14ac:dyDescent="0.2">
      <c r="A123" s="83">
        <v>3</v>
      </c>
      <c r="B123" s="83">
        <v>58.6</v>
      </c>
      <c r="C123" s="56">
        <v>6914800</v>
      </c>
      <c r="D123" s="56">
        <f t="shared" si="12"/>
        <v>118000</v>
      </c>
      <c r="E123" s="36">
        <v>13.14</v>
      </c>
      <c r="F123" s="36" t="s">
        <v>13</v>
      </c>
      <c r="G123" s="35">
        <v>2</v>
      </c>
      <c r="H123" s="64">
        <f t="shared" si="13"/>
        <v>13829600</v>
      </c>
    </row>
    <row r="124" spans="1:8" x14ac:dyDescent="0.2">
      <c r="A124" s="83">
        <v>3</v>
      </c>
      <c r="B124" s="83">
        <v>83.3</v>
      </c>
      <c r="C124" s="56">
        <v>7765500</v>
      </c>
      <c r="D124" s="56">
        <f t="shared" si="12"/>
        <v>93223.289315726288</v>
      </c>
      <c r="E124" s="36" t="s">
        <v>334</v>
      </c>
      <c r="F124" s="36" t="s">
        <v>13</v>
      </c>
      <c r="G124" s="35">
        <v>4</v>
      </c>
      <c r="H124" s="64">
        <f t="shared" si="13"/>
        <v>31062000</v>
      </c>
    </row>
    <row r="125" spans="1:8" x14ac:dyDescent="0.2">
      <c r="A125" s="282" t="s">
        <v>85</v>
      </c>
      <c r="B125" s="284"/>
      <c r="C125" s="284"/>
      <c r="D125" s="284"/>
      <c r="E125" s="284"/>
      <c r="F125" s="284"/>
      <c r="G125" s="46"/>
      <c r="H125" s="204"/>
    </row>
    <row r="126" spans="1:8" x14ac:dyDescent="0.2">
      <c r="A126" s="61" t="s">
        <v>6</v>
      </c>
      <c r="B126" s="67" t="s">
        <v>7</v>
      </c>
      <c r="C126" s="201" t="s">
        <v>8</v>
      </c>
      <c r="D126" s="201" t="s">
        <v>11</v>
      </c>
      <c r="E126" s="68" t="s">
        <v>10</v>
      </c>
      <c r="F126" s="67" t="s">
        <v>9</v>
      </c>
      <c r="G126" s="46"/>
      <c r="H126" s="204"/>
    </row>
    <row r="127" spans="1:8" x14ac:dyDescent="0.2">
      <c r="A127" s="83" t="s">
        <v>16</v>
      </c>
      <c r="B127" s="83">
        <v>26.4</v>
      </c>
      <c r="C127" s="56">
        <v>3854400</v>
      </c>
      <c r="D127" s="56">
        <f>C127/B127</f>
        <v>146000</v>
      </c>
      <c r="E127" s="55" t="s">
        <v>180</v>
      </c>
      <c r="F127" s="36" t="s">
        <v>13</v>
      </c>
      <c r="G127" s="35">
        <v>3</v>
      </c>
      <c r="H127" s="64">
        <f t="shared" ref="H127:H165" si="14">G127*C127</f>
        <v>11563200</v>
      </c>
    </row>
    <row r="128" spans="1:8" x14ac:dyDescent="0.2">
      <c r="A128" s="83" t="s">
        <v>16</v>
      </c>
      <c r="B128" s="83">
        <v>26.4</v>
      </c>
      <c r="C128" s="56">
        <v>3669600</v>
      </c>
      <c r="D128" s="56">
        <f t="shared" ref="D128:D170" si="15">C128/B128</f>
        <v>139000</v>
      </c>
      <c r="E128" s="55" t="s">
        <v>335</v>
      </c>
      <c r="F128" s="36" t="s">
        <v>13</v>
      </c>
      <c r="G128" s="35">
        <v>6</v>
      </c>
      <c r="H128" s="64">
        <f t="shared" si="14"/>
        <v>22017600</v>
      </c>
    </row>
    <row r="129" spans="1:8" x14ac:dyDescent="0.2">
      <c r="A129" s="83">
        <v>1</v>
      </c>
      <c r="B129" s="83">
        <v>26.6</v>
      </c>
      <c r="C129" s="56">
        <v>4631060</v>
      </c>
      <c r="D129" s="56">
        <f t="shared" si="15"/>
        <v>174100</v>
      </c>
      <c r="E129" s="55" t="s">
        <v>152</v>
      </c>
      <c r="F129" s="36" t="s">
        <v>41</v>
      </c>
      <c r="G129" s="35">
        <v>1</v>
      </c>
      <c r="H129" s="64">
        <f t="shared" si="14"/>
        <v>4631060</v>
      </c>
    </row>
    <row r="130" spans="1:8" x14ac:dyDescent="0.2">
      <c r="A130" s="83">
        <v>1</v>
      </c>
      <c r="B130" s="83">
        <v>26.6</v>
      </c>
      <c r="C130" s="56">
        <v>4495400</v>
      </c>
      <c r="D130" s="56">
        <f t="shared" si="15"/>
        <v>169000</v>
      </c>
      <c r="E130" s="55" t="s">
        <v>17</v>
      </c>
      <c r="F130" s="36" t="s">
        <v>13</v>
      </c>
      <c r="G130" s="35">
        <v>1</v>
      </c>
      <c r="H130" s="64">
        <f t="shared" si="14"/>
        <v>4495400</v>
      </c>
    </row>
    <row r="131" spans="1:8" x14ac:dyDescent="0.2">
      <c r="A131" s="83">
        <v>1</v>
      </c>
      <c r="B131" s="83">
        <v>28.1</v>
      </c>
      <c r="C131" s="56">
        <v>3905900</v>
      </c>
      <c r="D131" s="56">
        <f t="shared" si="15"/>
        <v>139000</v>
      </c>
      <c r="E131" s="55" t="s">
        <v>15</v>
      </c>
      <c r="F131" s="36" t="s">
        <v>13</v>
      </c>
      <c r="G131" s="35">
        <v>1</v>
      </c>
      <c r="H131" s="64">
        <f t="shared" si="14"/>
        <v>3905900</v>
      </c>
    </row>
    <row r="132" spans="1:8" x14ac:dyDescent="0.2">
      <c r="A132" s="83" t="s">
        <v>16</v>
      </c>
      <c r="B132" s="83">
        <v>31.8</v>
      </c>
      <c r="C132" s="56">
        <v>3975000</v>
      </c>
      <c r="D132" s="56">
        <f t="shared" si="15"/>
        <v>125000</v>
      </c>
      <c r="E132" s="36" t="s">
        <v>336</v>
      </c>
      <c r="F132" s="36" t="s">
        <v>41</v>
      </c>
      <c r="G132" s="35">
        <v>4</v>
      </c>
      <c r="H132" s="64">
        <f t="shared" si="14"/>
        <v>15900000</v>
      </c>
    </row>
    <row r="133" spans="1:8" x14ac:dyDescent="0.2">
      <c r="A133" s="83">
        <v>1</v>
      </c>
      <c r="B133" s="83">
        <v>33</v>
      </c>
      <c r="C133" s="56">
        <v>4191000</v>
      </c>
      <c r="D133" s="56">
        <f t="shared" si="15"/>
        <v>127000</v>
      </c>
      <c r="E133" s="36" t="s">
        <v>337</v>
      </c>
      <c r="F133" s="36" t="s">
        <v>13</v>
      </c>
      <c r="G133" s="35">
        <v>3</v>
      </c>
      <c r="H133" s="64">
        <f t="shared" si="14"/>
        <v>12573000</v>
      </c>
    </row>
    <row r="134" spans="1:8" x14ac:dyDescent="0.2">
      <c r="A134" s="83">
        <v>1</v>
      </c>
      <c r="B134" s="83">
        <v>34</v>
      </c>
      <c r="C134" s="56">
        <v>4420000</v>
      </c>
      <c r="D134" s="56">
        <f t="shared" si="15"/>
        <v>130000</v>
      </c>
      <c r="E134" s="36">
        <v>12</v>
      </c>
      <c r="F134" s="36" t="s">
        <v>41</v>
      </c>
      <c r="G134" s="35">
        <v>1</v>
      </c>
      <c r="H134" s="64">
        <f t="shared" si="14"/>
        <v>4420000</v>
      </c>
    </row>
    <row r="135" spans="1:8" x14ac:dyDescent="0.2">
      <c r="A135" s="83">
        <v>1</v>
      </c>
      <c r="B135" s="83">
        <v>34.200000000000003</v>
      </c>
      <c r="C135" s="56">
        <v>4309200</v>
      </c>
      <c r="D135" s="56">
        <f t="shared" si="15"/>
        <v>125999.99999999999</v>
      </c>
      <c r="E135" s="36" t="s">
        <v>338</v>
      </c>
      <c r="F135" s="36" t="s">
        <v>13</v>
      </c>
      <c r="G135" s="35">
        <v>3</v>
      </c>
      <c r="H135" s="64">
        <f t="shared" si="14"/>
        <v>12927600</v>
      </c>
    </row>
    <row r="136" spans="1:8" x14ac:dyDescent="0.2">
      <c r="A136" s="83">
        <v>1</v>
      </c>
      <c r="B136" s="83">
        <v>34.200000000000003</v>
      </c>
      <c r="C136" s="56">
        <v>4343400</v>
      </c>
      <c r="D136" s="56">
        <f t="shared" si="15"/>
        <v>126999.99999999999</v>
      </c>
      <c r="E136" s="36" t="s">
        <v>290</v>
      </c>
      <c r="F136" s="36" t="s">
        <v>13</v>
      </c>
      <c r="G136" s="35">
        <v>3</v>
      </c>
      <c r="H136" s="64">
        <f t="shared" si="14"/>
        <v>13030200</v>
      </c>
    </row>
    <row r="137" spans="1:8" x14ac:dyDescent="0.2">
      <c r="A137" s="83">
        <v>1</v>
      </c>
      <c r="B137" s="83">
        <v>34.200000000000003</v>
      </c>
      <c r="C137" s="56">
        <v>4343400</v>
      </c>
      <c r="D137" s="56">
        <f t="shared" si="15"/>
        <v>126999.99999999999</v>
      </c>
      <c r="E137" s="36">
        <v>1</v>
      </c>
      <c r="F137" s="36" t="s">
        <v>13</v>
      </c>
      <c r="G137" s="35">
        <v>1</v>
      </c>
      <c r="H137" s="64">
        <f t="shared" si="14"/>
        <v>4343400</v>
      </c>
    </row>
    <row r="138" spans="1:8" x14ac:dyDescent="0.2">
      <c r="A138" s="83">
        <v>1</v>
      </c>
      <c r="B138" s="83">
        <v>34.200000000000003</v>
      </c>
      <c r="C138" s="56">
        <v>4343400</v>
      </c>
      <c r="D138" s="56">
        <f t="shared" si="15"/>
        <v>126999.99999999999</v>
      </c>
      <c r="E138" s="36" t="s">
        <v>289</v>
      </c>
      <c r="F138" s="36" t="s">
        <v>13</v>
      </c>
      <c r="G138" s="35">
        <v>3</v>
      </c>
      <c r="H138" s="64">
        <f t="shared" si="14"/>
        <v>13030200</v>
      </c>
    </row>
    <row r="139" spans="1:8" x14ac:dyDescent="0.2">
      <c r="A139" s="83">
        <v>2</v>
      </c>
      <c r="B139" s="83">
        <v>39.4</v>
      </c>
      <c r="C139" s="56">
        <v>4885600</v>
      </c>
      <c r="D139" s="56">
        <f t="shared" si="15"/>
        <v>124000</v>
      </c>
      <c r="E139" s="36" t="s">
        <v>339</v>
      </c>
      <c r="F139" s="36" t="s">
        <v>13</v>
      </c>
      <c r="G139" s="35">
        <v>3</v>
      </c>
      <c r="H139" s="64">
        <f t="shared" si="14"/>
        <v>14656800</v>
      </c>
    </row>
    <row r="140" spans="1:8" x14ac:dyDescent="0.2">
      <c r="A140" s="83">
        <v>1</v>
      </c>
      <c r="B140" s="83">
        <v>39.6</v>
      </c>
      <c r="C140" s="56">
        <v>4593600</v>
      </c>
      <c r="D140" s="56">
        <f t="shared" si="15"/>
        <v>116000</v>
      </c>
      <c r="E140" s="36" t="s">
        <v>181</v>
      </c>
      <c r="F140" s="36" t="s">
        <v>13</v>
      </c>
      <c r="G140" s="35">
        <v>6</v>
      </c>
      <c r="H140" s="64">
        <f t="shared" si="14"/>
        <v>27561600</v>
      </c>
    </row>
    <row r="141" spans="1:8" x14ac:dyDescent="0.2">
      <c r="A141" s="83">
        <v>1</v>
      </c>
      <c r="B141" s="83">
        <v>39.700000000000003</v>
      </c>
      <c r="C141" s="56">
        <v>4605200</v>
      </c>
      <c r="D141" s="56">
        <f t="shared" si="15"/>
        <v>115999.99999999999</v>
      </c>
      <c r="E141" s="36">
        <v>1</v>
      </c>
      <c r="F141" s="36" t="s">
        <v>13</v>
      </c>
      <c r="G141" s="35">
        <v>1</v>
      </c>
      <c r="H141" s="64">
        <f t="shared" si="14"/>
        <v>4605200</v>
      </c>
    </row>
    <row r="142" spans="1:8" x14ac:dyDescent="0.2">
      <c r="A142" s="83">
        <v>2</v>
      </c>
      <c r="B142" s="83">
        <v>39.700000000000003</v>
      </c>
      <c r="C142" s="56">
        <v>4764000</v>
      </c>
      <c r="D142" s="56">
        <f t="shared" si="15"/>
        <v>119999.99999999999</v>
      </c>
      <c r="E142" s="55" t="s">
        <v>340</v>
      </c>
      <c r="F142" s="36" t="s">
        <v>13</v>
      </c>
      <c r="G142" s="35">
        <v>4</v>
      </c>
      <c r="H142" s="64">
        <f t="shared" si="14"/>
        <v>19056000</v>
      </c>
    </row>
    <row r="143" spans="1:8" x14ac:dyDescent="0.2">
      <c r="A143" s="83">
        <v>2</v>
      </c>
      <c r="B143" s="83">
        <v>40.299999999999997</v>
      </c>
      <c r="C143" s="56">
        <v>4916600</v>
      </c>
      <c r="D143" s="56">
        <f t="shared" si="15"/>
        <v>122000.00000000001</v>
      </c>
      <c r="E143" s="36">
        <v>1</v>
      </c>
      <c r="F143" s="36" t="s">
        <v>13</v>
      </c>
      <c r="G143" s="35">
        <v>1</v>
      </c>
      <c r="H143" s="64">
        <f t="shared" si="14"/>
        <v>4916600</v>
      </c>
    </row>
    <row r="144" spans="1:8" x14ac:dyDescent="0.2">
      <c r="A144" s="83">
        <v>2</v>
      </c>
      <c r="B144" s="83">
        <v>40.299999999999997</v>
      </c>
      <c r="C144" s="56">
        <v>4997200</v>
      </c>
      <c r="D144" s="56">
        <f t="shared" si="15"/>
        <v>124000.00000000001</v>
      </c>
      <c r="E144" s="55" t="s">
        <v>341</v>
      </c>
      <c r="F144" s="36" t="s">
        <v>41</v>
      </c>
      <c r="G144" s="35">
        <v>4</v>
      </c>
      <c r="H144" s="64">
        <f t="shared" si="14"/>
        <v>19988800</v>
      </c>
    </row>
    <row r="145" spans="1:8" x14ac:dyDescent="0.2">
      <c r="A145" s="83">
        <v>2</v>
      </c>
      <c r="B145" s="83">
        <v>40.5</v>
      </c>
      <c r="C145" s="56">
        <v>4738500</v>
      </c>
      <c r="D145" s="56">
        <f t="shared" si="15"/>
        <v>117000</v>
      </c>
      <c r="E145" s="36" t="s">
        <v>342</v>
      </c>
      <c r="F145" s="36" t="s">
        <v>41</v>
      </c>
      <c r="G145" s="35">
        <v>7</v>
      </c>
      <c r="H145" s="64">
        <f t="shared" si="14"/>
        <v>33169500</v>
      </c>
    </row>
    <row r="146" spans="1:8" x14ac:dyDescent="0.2">
      <c r="A146" s="83">
        <v>2</v>
      </c>
      <c r="B146" s="83">
        <v>41.5</v>
      </c>
      <c r="C146" s="56">
        <v>4855500</v>
      </c>
      <c r="D146" s="56">
        <f t="shared" si="15"/>
        <v>117000</v>
      </c>
      <c r="E146" s="36" t="s">
        <v>343</v>
      </c>
      <c r="F146" s="36" t="s">
        <v>13</v>
      </c>
      <c r="G146" s="35">
        <v>7</v>
      </c>
      <c r="H146" s="64">
        <f t="shared" si="14"/>
        <v>33988500</v>
      </c>
    </row>
    <row r="147" spans="1:8" x14ac:dyDescent="0.2">
      <c r="A147" s="83">
        <v>2</v>
      </c>
      <c r="B147" s="83">
        <v>41.5</v>
      </c>
      <c r="C147" s="56">
        <v>4897000</v>
      </c>
      <c r="D147" s="56">
        <f t="shared" si="15"/>
        <v>118000</v>
      </c>
      <c r="E147" s="36" t="s">
        <v>344</v>
      </c>
      <c r="F147" s="36" t="s">
        <v>13</v>
      </c>
      <c r="G147" s="35">
        <v>4</v>
      </c>
      <c r="H147" s="64">
        <f t="shared" si="14"/>
        <v>19588000</v>
      </c>
    </row>
    <row r="148" spans="1:8" x14ac:dyDescent="0.2">
      <c r="A148" s="83">
        <v>2</v>
      </c>
      <c r="B148" s="83">
        <v>41.5</v>
      </c>
      <c r="C148" s="56">
        <v>5270500</v>
      </c>
      <c r="D148" s="56">
        <f t="shared" si="15"/>
        <v>127000</v>
      </c>
      <c r="E148" s="36" t="s">
        <v>182</v>
      </c>
      <c r="F148" s="36" t="s">
        <v>13</v>
      </c>
      <c r="G148" s="35">
        <v>7</v>
      </c>
      <c r="H148" s="64">
        <f t="shared" si="14"/>
        <v>36893500</v>
      </c>
    </row>
    <row r="149" spans="1:8" x14ac:dyDescent="0.2">
      <c r="A149" s="83">
        <v>2</v>
      </c>
      <c r="B149" s="83">
        <v>41.5</v>
      </c>
      <c r="C149" s="56">
        <v>5187500</v>
      </c>
      <c r="D149" s="56">
        <f t="shared" si="15"/>
        <v>125000</v>
      </c>
      <c r="E149" s="36">
        <v>1</v>
      </c>
      <c r="F149" s="36" t="s">
        <v>13</v>
      </c>
      <c r="G149" s="35">
        <v>1</v>
      </c>
      <c r="H149" s="64">
        <f t="shared" si="14"/>
        <v>5187500</v>
      </c>
    </row>
    <row r="150" spans="1:8" x14ac:dyDescent="0.2">
      <c r="A150" s="83">
        <v>1</v>
      </c>
      <c r="B150" s="83">
        <v>43.4</v>
      </c>
      <c r="C150" s="56">
        <v>4860800</v>
      </c>
      <c r="D150" s="56">
        <f t="shared" si="15"/>
        <v>112000</v>
      </c>
      <c r="E150" s="36">
        <v>1</v>
      </c>
      <c r="F150" s="36" t="s">
        <v>13</v>
      </c>
      <c r="G150" s="35">
        <v>1</v>
      </c>
      <c r="H150" s="64">
        <f t="shared" si="14"/>
        <v>4860800</v>
      </c>
    </row>
    <row r="151" spans="1:8" x14ac:dyDescent="0.2">
      <c r="A151" s="83">
        <v>1</v>
      </c>
      <c r="B151" s="83">
        <v>43.7</v>
      </c>
      <c r="C151" s="56">
        <v>4938100</v>
      </c>
      <c r="D151" s="56">
        <f t="shared" si="15"/>
        <v>112999.99999999999</v>
      </c>
      <c r="E151" s="36">
        <v>1</v>
      </c>
      <c r="F151" s="36" t="s">
        <v>13</v>
      </c>
      <c r="G151" s="35">
        <v>1</v>
      </c>
      <c r="H151" s="64">
        <f t="shared" si="14"/>
        <v>4938100</v>
      </c>
    </row>
    <row r="152" spans="1:8" x14ac:dyDescent="0.2">
      <c r="A152" s="83">
        <v>1</v>
      </c>
      <c r="B152" s="83">
        <v>44.8</v>
      </c>
      <c r="C152" s="56">
        <v>5017600</v>
      </c>
      <c r="D152" s="56">
        <f t="shared" si="15"/>
        <v>112000</v>
      </c>
      <c r="E152" s="36">
        <v>1</v>
      </c>
      <c r="F152" s="36" t="s">
        <v>13</v>
      </c>
      <c r="G152" s="35">
        <v>1</v>
      </c>
      <c r="H152" s="64">
        <f t="shared" si="14"/>
        <v>5017600</v>
      </c>
    </row>
    <row r="153" spans="1:8" x14ac:dyDescent="0.2">
      <c r="A153" s="83">
        <v>3</v>
      </c>
      <c r="B153" s="83">
        <v>52.8</v>
      </c>
      <c r="C153" s="56">
        <v>6451200</v>
      </c>
      <c r="D153" s="56">
        <f t="shared" si="15"/>
        <v>122181.81818181819</v>
      </c>
      <c r="E153" s="36" t="s">
        <v>345</v>
      </c>
      <c r="F153" s="36" t="s">
        <v>13</v>
      </c>
      <c r="G153" s="35">
        <v>4</v>
      </c>
      <c r="H153" s="64">
        <f t="shared" si="14"/>
        <v>25804800</v>
      </c>
    </row>
    <row r="154" spans="1:8" x14ac:dyDescent="0.2">
      <c r="A154" s="83">
        <v>3</v>
      </c>
      <c r="B154" s="83">
        <v>52.8</v>
      </c>
      <c r="C154" s="56">
        <v>6600000</v>
      </c>
      <c r="D154" s="56">
        <f t="shared" si="15"/>
        <v>125000</v>
      </c>
      <c r="E154" s="36" t="s">
        <v>183</v>
      </c>
      <c r="F154" s="36" t="s">
        <v>13</v>
      </c>
      <c r="G154" s="35">
        <v>6</v>
      </c>
      <c r="H154" s="64">
        <f t="shared" si="14"/>
        <v>39600000</v>
      </c>
    </row>
    <row r="155" spans="1:8" x14ac:dyDescent="0.2">
      <c r="A155" s="83">
        <v>3</v>
      </c>
      <c r="B155" s="83">
        <v>52.8</v>
      </c>
      <c r="C155" s="56">
        <v>6494400</v>
      </c>
      <c r="D155" s="56">
        <f t="shared" si="15"/>
        <v>123000</v>
      </c>
      <c r="E155" s="36">
        <v>1</v>
      </c>
      <c r="F155" s="36" t="s">
        <v>13</v>
      </c>
      <c r="G155" s="35">
        <v>1</v>
      </c>
      <c r="H155" s="64">
        <f t="shared" si="14"/>
        <v>6494400</v>
      </c>
    </row>
    <row r="156" spans="1:8" x14ac:dyDescent="0.2">
      <c r="A156" s="83">
        <v>2</v>
      </c>
      <c r="B156" s="83">
        <v>58.5</v>
      </c>
      <c r="C156" s="56">
        <v>7780500</v>
      </c>
      <c r="D156" s="56">
        <f t="shared" si="15"/>
        <v>133000</v>
      </c>
      <c r="E156" s="36">
        <v>1</v>
      </c>
      <c r="F156" s="36" t="s">
        <v>41</v>
      </c>
      <c r="G156" s="35">
        <v>1</v>
      </c>
      <c r="H156" s="64">
        <f t="shared" si="14"/>
        <v>7780500</v>
      </c>
    </row>
    <row r="157" spans="1:8" x14ac:dyDescent="0.2">
      <c r="A157" s="83">
        <v>3</v>
      </c>
      <c r="B157" s="83">
        <v>58.7</v>
      </c>
      <c r="C157" s="56">
        <v>6633100</v>
      </c>
      <c r="D157" s="56">
        <f t="shared" si="15"/>
        <v>113000</v>
      </c>
      <c r="E157" s="36" t="s">
        <v>346</v>
      </c>
      <c r="F157" s="36" t="s">
        <v>13</v>
      </c>
      <c r="G157" s="35">
        <v>6</v>
      </c>
      <c r="H157" s="64">
        <f t="shared" si="14"/>
        <v>39798600</v>
      </c>
    </row>
    <row r="158" spans="1:8" x14ac:dyDescent="0.2">
      <c r="A158" s="83">
        <v>2</v>
      </c>
      <c r="B158" s="83">
        <v>59.4</v>
      </c>
      <c r="C158" s="56">
        <v>6593400</v>
      </c>
      <c r="D158" s="56">
        <f t="shared" si="15"/>
        <v>111000</v>
      </c>
      <c r="E158" s="36" t="s">
        <v>291</v>
      </c>
      <c r="F158" s="36" t="s">
        <v>13</v>
      </c>
      <c r="G158" s="35">
        <v>5</v>
      </c>
      <c r="H158" s="64">
        <f t="shared" si="14"/>
        <v>32967000</v>
      </c>
    </row>
    <row r="159" spans="1:8" x14ac:dyDescent="0.2">
      <c r="A159" s="83">
        <v>2</v>
      </c>
      <c r="B159" s="83">
        <v>59.4</v>
      </c>
      <c r="C159" s="56">
        <v>8137800</v>
      </c>
      <c r="D159" s="56">
        <f t="shared" si="15"/>
        <v>137000</v>
      </c>
      <c r="E159" s="36">
        <v>1</v>
      </c>
      <c r="F159" s="36" t="s">
        <v>41</v>
      </c>
      <c r="G159" s="35">
        <v>1</v>
      </c>
      <c r="H159" s="64">
        <f t="shared" si="14"/>
        <v>8137800</v>
      </c>
    </row>
    <row r="160" spans="1:8" x14ac:dyDescent="0.2">
      <c r="A160" s="83">
        <v>2</v>
      </c>
      <c r="B160" s="83">
        <v>59.6</v>
      </c>
      <c r="C160" s="56">
        <v>6615600</v>
      </c>
      <c r="D160" s="56">
        <f t="shared" si="15"/>
        <v>111000</v>
      </c>
      <c r="E160" s="36">
        <v>1</v>
      </c>
      <c r="F160" s="36" t="s">
        <v>13</v>
      </c>
      <c r="G160" s="35">
        <v>1</v>
      </c>
      <c r="H160" s="64">
        <f t="shared" si="14"/>
        <v>6615600</v>
      </c>
    </row>
    <row r="161" spans="1:8" x14ac:dyDescent="0.2">
      <c r="A161" s="83">
        <v>3</v>
      </c>
      <c r="B161" s="83">
        <v>59.6</v>
      </c>
      <c r="C161" s="56">
        <v>6734800</v>
      </c>
      <c r="D161" s="56">
        <f t="shared" si="15"/>
        <v>113000</v>
      </c>
      <c r="E161" s="36" t="s">
        <v>291</v>
      </c>
      <c r="F161" s="36" t="s">
        <v>13</v>
      </c>
      <c r="G161" s="35">
        <v>5</v>
      </c>
      <c r="H161" s="64">
        <f t="shared" si="14"/>
        <v>33674000</v>
      </c>
    </row>
    <row r="162" spans="1:8" x14ac:dyDescent="0.2">
      <c r="A162" s="83">
        <v>3</v>
      </c>
      <c r="B162" s="83">
        <v>59.6</v>
      </c>
      <c r="C162" s="56">
        <v>6734800</v>
      </c>
      <c r="D162" s="56">
        <f t="shared" si="15"/>
        <v>113000</v>
      </c>
      <c r="E162" s="36" t="s">
        <v>347</v>
      </c>
      <c r="F162" s="36" t="s">
        <v>13</v>
      </c>
      <c r="G162" s="35">
        <v>5</v>
      </c>
      <c r="H162" s="64">
        <f t="shared" si="14"/>
        <v>33674000</v>
      </c>
    </row>
    <row r="163" spans="1:8" x14ac:dyDescent="0.2">
      <c r="A163" s="83">
        <v>3</v>
      </c>
      <c r="B163" s="83">
        <v>59.6</v>
      </c>
      <c r="C163" s="56">
        <v>8284400</v>
      </c>
      <c r="D163" s="56">
        <f t="shared" si="15"/>
        <v>139000</v>
      </c>
      <c r="E163" s="36">
        <v>1</v>
      </c>
      <c r="F163" s="36" t="s">
        <v>41</v>
      </c>
      <c r="G163" s="35">
        <v>1</v>
      </c>
      <c r="H163" s="64">
        <f t="shared" si="14"/>
        <v>8284400</v>
      </c>
    </row>
    <row r="164" spans="1:8" x14ac:dyDescent="0.2">
      <c r="A164" s="83">
        <v>3</v>
      </c>
      <c r="B164" s="83">
        <v>59.8</v>
      </c>
      <c r="C164" s="56">
        <v>8312200</v>
      </c>
      <c r="D164" s="56">
        <f t="shared" si="15"/>
        <v>139000</v>
      </c>
      <c r="E164" s="36">
        <v>1</v>
      </c>
      <c r="F164" s="36" t="s">
        <v>13</v>
      </c>
      <c r="G164" s="35">
        <v>1</v>
      </c>
      <c r="H164" s="64">
        <f t="shared" si="14"/>
        <v>8312200</v>
      </c>
    </row>
    <row r="165" spans="1:8" x14ac:dyDescent="0.2">
      <c r="A165" s="83">
        <v>3</v>
      </c>
      <c r="B165" s="83">
        <v>59.8</v>
      </c>
      <c r="C165" s="56">
        <v>6757400</v>
      </c>
      <c r="D165" s="56">
        <f t="shared" si="15"/>
        <v>113000</v>
      </c>
      <c r="E165" s="36" t="s">
        <v>184</v>
      </c>
      <c r="F165" s="36" t="s">
        <v>13</v>
      </c>
      <c r="G165" s="35">
        <v>5</v>
      </c>
      <c r="H165" s="64">
        <f t="shared" si="14"/>
        <v>33787000</v>
      </c>
    </row>
    <row r="166" spans="1:8" x14ac:dyDescent="0.2">
      <c r="A166" s="83">
        <v>3</v>
      </c>
      <c r="B166" s="83">
        <v>69.400000000000006</v>
      </c>
      <c r="C166" s="56">
        <v>7287000</v>
      </c>
      <c r="D166" s="56">
        <f t="shared" si="15"/>
        <v>104999.99999999999</v>
      </c>
      <c r="E166" s="36" t="s">
        <v>155</v>
      </c>
      <c r="F166" s="36" t="s">
        <v>13</v>
      </c>
      <c r="G166" s="35">
        <v>6</v>
      </c>
      <c r="H166" s="64">
        <f>G166*C166</f>
        <v>43722000</v>
      </c>
    </row>
    <row r="167" spans="1:8" x14ac:dyDescent="0.2">
      <c r="A167" s="83">
        <v>3</v>
      </c>
      <c r="B167" s="83">
        <v>75.900000000000006</v>
      </c>
      <c r="C167" s="56">
        <v>7741800</v>
      </c>
      <c r="D167" s="56">
        <f t="shared" si="15"/>
        <v>101999.99999999999</v>
      </c>
      <c r="E167" s="36">
        <v>1</v>
      </c>
      <c r="F167" s="36" t="s">
        <v>13</v>
      </c>
      <c r="G167" s="35">
        <v>1</v>
      </c>
      <c r="H167" s="64">
        <f t="shared" ref="H167:H170" si="16">G167*C167</f>
        <v>7741800</v>
      </c>
    </row>
    <row r="168" spans="1:8" x14ac:dyDescent="0.2">
      <c r="A168" s="83">
        <v>3</v>
      </c>
      <c r="B168" s="83">
        <v>79.400000000000006</v>
      </c>
      <c r="C168" s="56">
        <v>10322000</v>
      </c>
      <c r="D168" s="56">
        <f t="shared" si="15"/>
        <v>129999.99999999999</v>
      </c>
      <c r="E168" s="36">
        <v>1</v>
      </c>
      <c r="F168" s="36" t="s">
        <v>41</v>
      </c>
      <c r="G168" s="35">
        <v>1</v>
      </c>
      <c r="H168" s="64">
        <f t="shared" si="16"/>
        <v>10322000</v>
      </c>
    </row>
    <row r="169" spans="1:8" x14ac:dyDescent="0.2">
      <c r="A169" s="83">
        <v>3</v>
      </c>
      <c r="B169" s="83">
        <v>79.5</v>
      </c>
      <c r="C169" s="56">
        <v>8268000</v>
      </c>
      <c r="D169" s="56">
        <f t="shared" si="15"/>
        <v>104000</v>
      </c>
      <c r="E169" s="36" t="s">
        <v>156</v>
      </c>
      <c r="F169" s="36" t="s">
        <v>13</v>
      </c>
      <c r="G169" s="35">
        <v>7</v>
      </c>
      <c r="H169" s="64">
        <f t="shared" si="16"/>
        <v>57876000</v>
      </c>
    </row>
    <row r="170" spans="1:8" x14ac:dyDescent="0.2">
      <c r="A170" s="83">
        <v>3</v>
      </c>
      <c r="B170" s="83">
        <v>87.8</v>
      </c>
      <c r="C170" s="56">
        <v>8780000</v>
      </c>
      <c r="D170" s="56">
        <f t="shared" si="15"/>
        <v>100000</v>
      </c>
      <c r="E170" s="36" t="s">
        <v>185</v>
      </c>
      <c r="F170" s="36" t="s">
        <v>13</v>
      </c>
      <c r="G170" s="35">
        <v>8</v>
      </c>
      <c r="H170" s="64">
        <f t="shared" si="16"/>
        <v>70240000</v>
      </c>
    </row>
    <row r="171" spans="1:8" x14ac:dyDescent="0.2">
      <c r="A171" s="282" t="s">
        <v>47</v>
      </c>
      <c r="B171" s="283"/>
      <c r="C171" s="283"/>
      <c r="D171" s="283"/>
      <c r="E171" s="283"/>
      <c r="F171" s="285"/>
      <c r="G171" s="66"/>
      <c r="H171" s="204"/>
    </row>
    <row r="172" spans="1:8" x14ac:dyDescent="0.2">
      <c r="A172" s="69" t="s">
        <v>6</v>
      </c>
      <c r="B172" s="70" t="s">
        <v>7</v>
      </c>
      <c r="C172" s="202" t="s">
        <v>8</v>
      </c>
      <c r="D172" s="202" t="s">
        <v>11</v>
      </c>
      <c r="E172" s="71" t="s">
        <v>10</v>
      </c>
      <c r="F172" s="72" t="s">
        <v>9</v>
      </c>
      <c r="G172" s="66"/>
      <c r="H172" s="204"/>
    </row>
    <row r="173" spans="1:8" x14ac:dyDescent="0.2">
      <c r="A173" s="89" t="s">
        <v>16</v>
      </c>
      <c r="B173" s="89">
        <v>27</v>
      </c>
      <c r="C173" s="73">
        <v>4752000</v>
      </c>
      <c r="D173" s="73">
        <f>C173/B173</f>
        <v>176000</v>
      </c>
      <c r="E173" s="74" t="s">
        <v>148</v>
      </c>
      <c r="F173" s="75" t="s">
        <v>13</v>
      </c>
      <c r="G173" s="35">
        <v>2</v>
      </c>
      <c r="H173" s="64">
        <f t="shared" ref="H173:H222" si="17">G173*C173</f>
        <v>9504000</v>
      </c>
    </row>
    <row r="174" spans="1:8" x14ac:dyDescent="0.2">
      <c r="A174" s="89" t="s">
        <v>16</v>
      </c>
      <c r="B174" s="89">
        <v>28.6</v>
      </c>
      <c r="C174" s="73">
        <v>5033600</v>
      </c>
      <c r="D174" s="73">
        <f t="shared" ref="D174:D222" si="18">C174/B174</f>
        <v>176000</v>
      </c>
      <c r="E174" s="74" t="s">
        <v>138</v>
      </c>
      <c r="F174" s="75" t="s">
        <v>13</v>
      </c>
      <c r="G174" s="35">
        <v>1</v>
      </c>
      <c r="H174" s="64">
        <f t="shared" si="17"/>
        <v>5033600</v>
      </c>
    </row>
    <row r="175" spans="1:8" x14ac:dyDescent="0.2">
      <c r="A175" s="89" t="s">
        <v>16</v>
      </c>
      <c r="B175" s="89">
        <v>32</v>
      </c>
      <c r="C175" s="73">
        <v>4768000</v>
      </c>
      <c r="D175" s="73">
        <f t="shared" si="18"/>
        <v>149000</v>
      </c>
      <c r="E175" s="74" t="s">
        <v>15</v>
      </c>
      <c r="F175" s="75" t="s">
        <v>13</v>
      </c>
      <c r="G175" s="35">
        <v>1</v>
      </c>
      <c r="H175" s="64">
        <f t="shared" si="17"/>
        <v>4768000</v>
      </c>
    </row>
    <row r="176" spans="1:8" x14ac:dyDescent="0.2">
      <c r="A176" s="83">
        <v>1</v>
      </c>
      <c r="B176" s="83">
        <v>38.5</v>
      </c>
      <c r="C176" s="64">
        <v>6352500</v>
      </c>
      <c r="D176" s="73">
        <f t="shared" si="18"/>
        <v>165000</v>
      </c>
      <c r="E176" s="65" t="s">
        <v>22</v>
      </c>
      <c r="F176" s="114" t="s">
        <v>13</v>
      </c>
      <c r="G176" s="77">
        <v>1</v>
      </c>
      <c r="H176" s="64">
        <f t="shared" si="17"/>
        <v>6352500</v>
      </c>
    </row>
    <row r="177" spans="1:8" x14ac:dyDescent="0.2">
      <c r="A177" s="83">
        <v>1</v>
      </c>
      <c r="B177" s="83">
        <v>40.6</v>
      </c>
      <c r="C177" s="64">
        <v>6252400</v>
      </c>
      <c r="D177" s="73">
        <f t="shared" si="18"/>
        <v>154000</v>
      </c>
      <c r="E177" s="65" t="s">
        <v>112</v>
      </c>
      <c r="F177" s="114" t="s">
        <v>13</v>
      </c>
      <c r="G177" s="77">
        <v>2</v>
      </c>
      <c r="H177" s="64">
        <f t="shared" si="17"/>
        <v>12504800</v>
      </c>
    </row>
    <row r="178" spans="1:8" x14ac:dyDescent="0.2">
      <c r="A178" s="83">
        <v>1</v>
      </c>
      <c r="B178" s="83">
        <v>40.6</v>
      </c>
      <c r="C178" s="64">
        <v>6252400</v>
      </c>
      <c r="D178" s="73">
        <f t="shared" si="18"/>
        <v>154000</v>
      </c>
      <c r="E178" s="65" t="s">
        <v>148</v>
      </c>
      <c r="F178" s="114" t="s">
        <v>13</v>
      </c>
      <c r="G178" s="77">
        <v>2</v>
      </c>
      <c r="H178" s="64">
        <f t="shared" si="17"/>
        <v>12504800</v>
      </c>
    </row>
    <row r="179" spans="1:8" x14ac:dyDescent="0.2">
      <c r="A179" s="83">
        <v>1</v>
      </c>
      <c r="B179" s="83">
        <v>41</v>
      </c>
      <c r="C179" s="64">
        <v>6232000</v>
      </c>
      <c r="D179" s="73">
        <f t="shared" si="18"/>
        <v>152000</v>
      </c>
      <c r="E179" s="65" t="s">
        <v>15</v>
      </c>
      <c r="F179" s="114" t="s">
        <v>13</v>
      </c>
      <c r="G179" s="77">
        <v>1</v>
      </c>
      <c r="H179" s="64">
        <f t="shared" si="17"/>
        <v>6232000</v>
      </c>
    </row>
    <row r="180" spans="1:8" x14ac:dyDescent="0.2">
      <c r="A180" s="83">
        <v>1</v>
      </c>
      <c r="B180" s="83">
        <v>42.3</v>
      </c>
      <c r="C180" s="64">
        <v>6429600</v>
      </c>
      <c r="D180" s="73">
        <f t="shared" si="18"/>
        <v>152000</v>
      </c>
      <c r="E180" s="65" t="s">
        <v>130</v>
      </c>
      <c r="F180" s="114" t="s">
        <v>13</v>
      </c>
      <c r="G180" s="77">
        <v>1</v>
      </c>
      <c r="H180" s="64">
        <f t="shared" si="17"/>
        <v>6429600</v>
      </c>
    </row>
    <row r="181" spans="1:8" x14ac:dyDescent="0.2">
      <c r="A181" s="83">
        <v>2</v>
      </c>
      <c r="B181" s="83">
        <v>43.3</v>
      </c>
      <c r="C181" s="64">
        <v>6581600</v>
      </c>
      <c r="D181" s="73">
        <f t="shared" si="18"/>
        <v>152000</v>
      </c>
      <c r="E181" s="65" t="s">
        <v>139</v>
      </c>
      <c r="F181" s="114" t="s">
        <v>13</v>
      </c>
      <c r="G181" s="77">
        <v>3</v>
      </c>
      <c r="H181" s="64">
        <f t="shared" si="17"/>
        <v>19744800</v>
      </c>
    </row>
    <row r="182" spans="1:8" x14ac:dyDescent="0.2">
      <c r="A182" s="83">
        <v>1</v>
      </c>
      <c r="B182" s="83">
        <v>44.6</v>
      </c>
      <c r="C182" s="64">
        <v>6377800</v>
      </c>
      <c r="D182" s="73">
        <f t="shared" si="18"/>
        <v>143000</v>
      </c>
      <c r="E182" s="65" t="s">
        <v>149</v>
      </c>
      <c r="F182" s="114" t="s">
        <v>13</v>
      </c>
      <c r="G182" s="77">
        <v>3</v>
      </c>
      <c r="H182" s="64">
        <f t="shared" si="17"/>
        <v>19133400</v>
      </c>
    </row>
    <row r="183" spans="1:8" x14ac:dyDescent="0.2">
      <c r="A183" s="83">
        <v>1</v>
      </c>
      <c r="B183" s="83">
        <v>44.8</v>
      </c>
      <c r="C183" s="64">
        <v>6451200</v>
      </c>
      <c r="D183" s="73">
        <f t="shared" si="18"/>
        <v>144000</v>
      </c>
      <c r="E183" s="65" t="s">
        <v>348</v>
      </c>
      <c r="F183" s="114" t="s">
        <v>13</v>
      </c>
      <c r="G183" s="77">
        <v>3</v>
      </c>
      <c r="H183" s="64">
        <f t="shared" si="17"/>
        <v>19353600</v>
      </c>
    </row>
    <row r="184" spans="1:8" x14ac:dyDescent="0.2">
      <c r="A184" s="83">
        <v>1</v>
      </c>
      <c r="B184" s="83">
        <v>45.3</v>
      </c>
      <c r="C184" s="64">
        <v>6432600</v>
      </c>
      <c r="D184" s="73">
        <f t="shared" si="18"/>
        <v>142000</v>
      </c>
      <c r="E184" s="65" t="s">
        <v>15</v>
      </c>
      <c r="F184" s="114" t="s">
        <v>13</v>
      </c>
      <c r="G184" s="77">
        <v>1</v>
      </c>
      <c r="H184" s="64">
        <f t="shared" si="17"/>
        <v>6432600</v>
      </c>
    </row>
    <row r="185" spans="1:8" x14ac:dyDescent="0.2">
      <c r="A185" s="83">
        <v>1</v>
      </c>
      <c r="B185" s="83">
        <v>45.7</v>
      </c>
      <c r="C185" s="64">
        <v>6580800</v>
      </c>
      <c r="D185" s="73">
        <f t="shared" si="18"/>
        <v>144000</v>
      </c>
      <c r="E185" s="65" t="s">
        <v>130</v>
      </c>
      <c r="F185" s="114" t="s">
        <v>13</v>
      </c>
      <c r="G185" s="77">
        <v>1</v>
      </c>
      <c r="H185" s="64">
        <f t="shared" si="17"/>
        <v>6580800</v>
      </c>
    </row>
    <row r="186" spans="1:8" x14ac:dyDescent="0.2">
      <c r="A186" s="83">
        <v>1</v>
      </c>
      <c r="B186" s="83">
        <v>48.3</v>
      </c>
      <c r="C186" s="64">
        <v>6810300</v>
      </c>
      <c r="D186" s="73">
        <f t="shared" si="18"/>
        <v>141000</v>
      </c>
      <c r="E186" s="65" t="s">
        <v>15</v>
      </c>
      <c r="F186" s="114" t="s">
        <v>13</v>
      </c>
      <c r="G186" s="77">
        <v>1</v>
      </c>
      <c r="H186" s="64">
        <f t="shared" si="17"/>
        <v>6810300</v>
      </c>
    </row>
    <row r="187" spans="1:8" x14ac:dyDescent="0.2">
      <c r="A187" s="83">
        <v>2</v>
      </c>
      <c r="B187" s="83">
        <v>49.2</v>
      </c>
      <c r="C187" s="64">
        <v>7035600</v>
      </c>
      <c r="D187" s="73">
        <f t="shared" si="18"/>
        <v>143000</v>
      </c>
      <c r="E187" s="65" t="s">
        <v>154</v>
      </c>
      <c r="F187" s="114" t="s">
        <v>13</v>
      </c>
      <c r="G187" s="77">
        <v>2</v>
      </c>
      <c r="H187" s="64">
        <f t="shared" si="17"/>
        <v>14071200</v>
      </c>
    </row>
    <row r="188" spans="1:8" x14ac:dyDescent="0.2">
      <c r="A188" s="83">
        <v>2</v>
      </c>
      <c r="B188" s="83">
        <v>49.2</v>
      </c>
      <c r="C188" s="64">
        <v>7134000</v>
      </c>
      <c r="D188" s="73">
        <f t="shared" si="18"/>
        <v>145000</v>
      </c>
      <c r="E188" s="65" t="s">
        <v>162</v>
      </c>
      <c r="F188" s="114" t="s">
        <v>13</v>
      </c>
      <c r="G188" s="77">
        <v>2</v>
      </c>
      <c r="H188" s="64">
        <f t="shared" si="17"/>
        <v>14268000</v>
      </c>
    </row>
    <row r="189" spans="1:8" x14ac:dyDescent="0.2">
      <c r="A189" s="83">
        <v>2</v>
      </c>
      <c r="B189" s="83">
        <v>49.5</v>
      </c>
      <c r="C189" s="64">
        <v>6930000</v>
      </c>
      <c r="D189" s="73">
        <f t="shared" si="18"/>
        <v>140000</v>
      </c>
      <c r="E189" s="65" t="s">
        <v>284</v>
      </c>
      <c r="F189" s="114" t="s">
        <v>13</v>
      </c>
      <c r="G189" s="77">
        <v>5</v>
      </c>
      <c r="H189" s="64">
        <f t="shared" si="17"/>
        <v>34650000</v>
      </c>
    </row>
    <row r="190" spans="1:8" x14ac:dyDescent="0.2">
      <c r="A190" s="83">
        <v>2</v>
      </c>
      <c r="B190" s="83">
        <v>49.7</v>
      </c>
      <c r="C190" s="64">
        <v>7007700</v>
      </c>
      <c r="D190" s="73">
        <f t="shared" si="18"/>
        <v>141000</v>
      </c>
      <c r="E190" s="65" t="s">
        <v>131</v>
      </c>
      <c r="F190" s="114" t="s">
        <v>13</v>
      </c>
      <c r="G190" s="77">
        <v>5</v>
      </c>
      <c r="H190" s="64">
        <f t="shared" si="17"/>
        <v>35038500</v>
      </c>
    </row>
    <row r="191" spans="1:8" x14ac:dyDescent="0.2">
      <c r="A191" s="83">
        <v>2</v>
      </c>
      <c r="B191" s="83">
        <v>49.9</v>
      </c>
      <c r="C191" s="64">
        <v>6986000</v>
      </c>
      <c r="D191" s="73">
        <f t="shared" si="18"/>
        <v>140000</v>
      </c>
      <c r="E191" s="65" t="s">
        <v>30</v>
      </c>
      <c r="F191" s="114" t="s">
        <v>13</v>
      </c>
      <c r="G191" s="77">
        <v>1</v>
      </c>
      <c r="H191" s="64">
        <f t="shared" si="17"/>
        <v>6986000</v>
      </c>
    </row>
    <row r="192" spans="1:8" x14ac:dyDescent="0.2">
      <c r="A192" s="83">
        <v>2</v>
      </c>
      <c r="B192" s="83">
        <v>49.9</v>
      </c>
      <c r="C192" s="64">
        <v>7784400</v>
      </c>
      <c r="D192" s="73">
        <f t="shared" si="18"/>
        <v>156000</v>
      </c>
      <c r="E192" s="65" t="s">
        <v>130</v>
      </c>
      <c r="F192" s="114" t="s">
        <v>13</v>
      </c>
      <c r="G192" s="77">
        <v>1</v>
      </c>
      <c r="H192" s="64">
        <f t="shared" si="17"/>
        <v>7784400</v>
      </c>
    </row>
    <row r="193" spans="1:8" x14ac:dyDescent="0.2">
      <c r="A193" s="83">
        <v>2</v>
      </c>
      <c r="B193" s="83">
        <v>49.9</v>
      </c>
      <c r="C193" s="64">
        <v>7784400</v>
      </c>
      <c r="D193" s="73">
        <f t="shared" si="18"/>
        <v>156000</v>
      </c>
      <c r="E193" s="65" t="s">
        <v>29</v>
      </c>
      <c r="F193" s="114" t="s">
        <v>13</v>
      </c>
      <c r="G193" s="77">
        <v>1</v>
      </c>
      <c r="H193" s="64">
        <f t="shared" si="17"/>
        <v>7784400</v>
      </c>
    </row>
    <row r="194" spans="1:8" x14ac:dyDescent="0.2">
      <c r="A194" s="83">
        <v>3</v>
      </c>
      <c r="B194" s="83">
        <v>60.2</v>
      </c>
      <c r="C194" s="64">
        <v>8849400</v>
      </c>
      <c r="D194" s="73">
        <f t="shared" si="18"/>
        <v>147000</v>
      </c>
      <c r="E194" s="65" t="s">
        <v>349</v>
      </c>
      <c r="F194" s="114" t="s">
        <v>13</v>
      </c>
      <c r="G194" s="77">
        <v>3</v>
      </c>
      <c r="H194" s="64">
        <f t="shared" si="17"/>
        <v>26548200</v>
      </c>
    </row>
    <row r="195" spans="1:8" x14ac:dyDescent="0.2">
      <c r="A195" s="83">
        <v>2</v>
      </c>
      <c r="B195" s="83">
        <v>62.5</v>
      </c>
      <c r="C195" s="64">
        <v>8875000</v>
      </c>
      <c r="D195" s="73">
        <f t="shared" si="18"/>
        <v>142000</v>
      </c>
      <c r="E195" s="65" t="s">
        <v>132</v>
      </c>
      <c r="F195" s="114" t="s">
        <v>13</v>
      </c>
      <c r="G195" s="77">
        <v>4</v>
      </c>
      <c r="H195" s="64">
        <f t="shared" si="17"/>
        <v>35500000</v>
      </c>
    </row>
    <row r="196" spans="1:8" x14ac:dyDescent="0.2">
      <c r="A196" s="83">
        <v>3</v>
      </c>
      <c r="B196" s="83">
        <v>63.1</v>
      </c>
      <c r="C196" s="64">
        <v>8139900</v>
      </c>
      <c r="D196" s="73">
        <f t="shared" si="18"/>
        <v>129000</v>
      </c>
      <c r="E196" s="65" t="s">
        <v>15</v>
      </c>
      <c r="F196" s="114" t="s">
        <v>13</v>
      </c>
      <c r="G196" s="77">
        <v>1</v>
      </c>
      <c r="H196" s="64">
        <f t="shared" si="17"/>
        <v>8139900</v>
      </c>
    </row>
    <row r="197" spans="1:8" x14ac:dyDescent="0.2">
      <c r="A197" s="83">
        <v>2</v>
      </c>
      <c r="B197" s="83">
        <v>65.3</v>
      </c>
      <c r="C197" s="64">
        <v>9207300</v>
      </c>
      <c r="D197" s="73">
        <f t="shared" si="18"/>
        <v>141000</v>
      </c>
      <c r="E197" s="65" t="s">
        <v>15</v>
      </c>
      <c r="F197" s="114" t="s">
        <v>13</v>
      </c>
      <c r="G197" s="77">
        <v>1</v>
      </c>
      <c r="H197" s="64">
        <f t="shared" si="17"/>
        <v>9207300</v>
      </c>
    </row>
    <row r="198" spans="1:8" x14ac:dyDescent="0.2">
      <c r="A198" s="83">
        <v>3</v>
      </c>
      <c r="B198" s="83">
        <v>67</v>
      </c>
      <c r="C198" s="64">
        <v>8911000</v>
      </c>
      <c r="D198" s="73">
        <f t="shared" si="18"/>
        <v>133000</v>
      </c>
      <c r="E198" s="65" t="s">
        <v>15</v>
      </c>
      <c r="F198" s="114" t="s">
        <v>13</v>
      </c>
      <c r="G198" s="77">
        <v>1</v>
      </c>
      <c r="H198" s="64">
        <f t="shared" si="17"/>
        <v>8911000</v>
      </c>
    </row>
    <row r="199" spans="1:8" x14ac:dyDescent="0.2">
      <c r="A199" s="83">
        <v>3</v>
      </c>
      <c r="B199" s="83">
        <v>67.099999999999994</v>
      </c>
      <c r="C199" s="64">
        <v>8991400</v>
      </c>
      <c r="D199" s="73">
        <f t="shared" si="18"/>
        <v>134000</v>
      </c>
      <c r="E199" s="65" t="s">
        <v>34</v>
      </c>
      <c r="F199" s="114" t="s">
        <v>13</v>
      </c>
      <c r="G199" s="77">
        <v>1</v>
      </c>
      <c r="H199" s="64">
        <f t="shared" si="17"/>
        <v>8991400</v>
      </c>
    </row>
    <row r="200" spans="1:8" x14ac:dyDescent="0.2">
      <c r="A200" s="83">
        <v>3</v>
      </c>
      <c r="B200" s="83">
        <v>67.3</v>
      </c>
      <c r="C200" s="64">
        <v>9018200</v>
      </c>
      <c r="D200" s="73">
        <f t="shared" si="18"/>
        <v>134000</v>
      </c>
      <c r="E200" s="65" t="s">
        <v>350</v>
      </c>
      <c r="F200" s="114" t="s">
        <v>13</v>
      </c>
      <c r="G200" s="77">
        <v>5</v>
      </c>
      <c r="H200" s="64">
        <f t="shared" si="17"/>
        <v>45091000</v>
      </c>
    </row>
    <row r="201" spans="1:8" x14ac:dyDescent="0.2">
      <c r="A201" s="83">
        <v>3</v>
      </c>
      <c r="B201" s="83">
        <v>67.5</v>
      </c>
      <c r="C201" s="64">
        <v>9450000</v>
      </c>
      <c r="D201" s="73">
        <f t="shared" si="18"/>
        <v>140000</v>
      </c>
      <c r="E201" s="65" t="s">
        <v>348</v>
      </c>
      <c r="F201" s="114" t="s">
        <v>13</v>
      </c>
      <c r="G201" s="77">
        <v>3</v>
      </c>
      <c r="H201" s="64">
        <f t="shared" si="17"/>
        <v>28350000</v>
      </c>
    </row>
    <row r="202" spans="1:8" x14ac:dyDescent="0.2">
      <c r="A202" s="83">
        <v>3</v>
      </c>
      <c r="B202" s="83">
        <v>68.2</v>
      </c>
      <c r="C202" s="64">
        <v>8866000</v>
      </c>
      <c r="D202" s="73">
        <f t="shared" si="18"/>
        <v>130000</v>
      </c>
      <c r="E202" s="65" t="s">
        <v>150</v>
      </c>
      <c r="F202" s="114" t="s">
        <v>13</v>
      </c>
      <c r="G202" s="77">
        <v>2</v>
      </c>
      <c r="H202" s="64">
        <f t="shared" si="17"/>
        <v>17732000</v>
      </c>
    </row>
    <row r="203" spans="1:8" x14ac:dyDescent="0.2">
      <c r="A203" s="83">
        <v>3</v>
      </c>
      <c r="B203" s="83">
        <v>68.2</v>
      </c>
      <c r="C203" s="64">
        <v>9548000</v>
      </c>
      <c r="D203" s="73">
        <f t="shared" si="18"/>
        <v>140000</v>
      </c>
      <c r="E203" s="65" t="s">
        <v>15</v>
      </c>
      <c r="F203" s="114" t="s">
        <v>13</v>
      </c>
      <c r="G203" s="77">
        <v>1</v>
      </c>
      <c r="H203" s="64">
        <f t="shared" si="17"/>
        <v>9548000</v>
      </c>
    </row>
    <row r="204" spans="1:8" x14ac:dyDescent="0.2">
      <c r="A204" s="83">
        <v>3</v>
      </c>
      <c r="B204" s="83">
        <v>68.599999999999994</v>
      </c>
      <c r="C204" s="64">
        <v>8918000</v>
      </c>
      <c r="D204" s="73">
        <f t="shared" si="18"/>
        <v>130000.00000000001</v>
      </c>
      <c r="E204" s="65" t="s">
        <v>163</v>
      </c>
      <c r="F204" s="114" t="s">
        <v>13</v>
      </c>
      <c r="G204" s="77">
        <v>2</v>
      </c>
      <c r="H204" s="64">
        <f t="shared" si="17"/>
        <v>17836000</v>
      </c>
    </row>
    <row r="205" spans="1:8" x14ac:dyDescent="0.2">
      <c r="A205" s="83">
        <v>3</v>
      </c>
      <c r="B205" s="83">
        <v>69</v>
      </c>
      <c r="C205" s="64">
        <v>9315000</v>
      </c>
      <c r="D205" s="73">
        <f t="shared" si="18"/>
        <v>135000</v>
      </c>
      <c r="E205" s="65" t="s">
        <v>92</v>
      </c>
      <c r="F205" s="114" t="s">
        <v>13</v>
      </c>
      <c r="G205" s="77">
        <v>3</v>
      </c>
      <c r="H205" s="64">
        <f t="shared" si="17"/>
        <v>27945000</v>
      </c>
    </row>
    <row r="206" spans="1:8" x14ac:dyDescent="0.2">
      <c r="A206" s="83">
        <v>3</v>
      </c>
      <c r="B206" s="83">
        <v>69.2</v>
      </c>
      <c r="C206" s="64">
        <v>9480400</v>
      </c>
      <c r="D206" s="73">
        <f t="shared" si="18"/>
        <v>137000</v>
      </c>
      <c r="E206" s="65" t="s">
        <v>112</v>
      </c>
      <c r="F206" s="114" t="s">
        <v>13</v>
      </c>
      <c r="G206" s="77">
        <v>2</v>
      </c>
      <c r="H206" s="64">
        <f t="shared" si="17"/>
        <v>18960800</v>
      </c>
    </row>
    <row r="207" spans="1:8" x14ac:dyDescent="0.2">
      <c r="A207" s="83">
        <v>3</v>
      </c>
      <c r="B207" s="83">
        <v>69.8</v>
      </c>
      <c r="C207" s="64">
        <v>9562600</v>
      </c>
      <c r="D207" s="73">
        <f t="shared" si="18"/>
        <v>137000</v>
      </c>
      <c r="E207" s="65" t="s">
        <v>14</v>
      </c>
      <c r="F207" s="114" t="s">
        <v>13</v>
      </c>
      <c r="G207" s="77">
        <v>1</v>
      </c>
      <c r="H207" s="64">
        <f t="shared" si="17"/>
        <v>9562600</v>
      </c>
    </row>
    <row r="208" spans="1:8" x14ac:dyDescent="0.2">
      <c r="A208" s="83">
        <v>2</v>
      </c>
      <c r="B208" s="83">
        <v>70</v>
      </c>
      <c r="C208" s="64">
        <v>8750000</v>
      </c>
      <c r="D208" s="73">
        <f t="shared" si="18"/>
        <v>125000</v>
      </c>
      <c r="E208" s="65" t="s">
        <v>49</v>
      </c>
      <c r="F208" s="114" t="s">
        <v>13</v>
      </c>
      <c r="G208" s="77">
        <v>2</v>
      </c>
      <c r="H208" s="64">
        <f t="shared" si="17"/>
        <v>17500000</v>
      </c>
    </row>
    <row r="209" spans="1:8" x14ac:dyDescent="0.2">
      <c r="A209" s="83">
        <v>2</v>
      </c>
      <c r="B209" s="83">
        <v>70.099999999999994</v>
      </c>
      <c r="C209" s="64">
        <v>8832600</v>
      </c>
      <c r="D209" s="73">
        <f t="shared" si="18"/>
        <v>126000.00000000001</v>
      </c>
      <c r="E209" s="65" t="s">
        <v>28</v>
      </c>
      <c r="F209" s="114" t="s">
        <v>13</v>
      </c>
      <c r="G209" s="77">
        <v>1</v>
      </c>
      <c r="H209" s="64">
        <f t="shared" si="17"/>
        <v>8832600</v>
      </c>
    </row>
    <row r="210" spans="1:8" x14ac:dyDescent="0.2">
      <c r="A210" s="83">
        <v>2</v>
      </c>
      <c r="B210" s="83">
        <v>70.099999999999994</v>
      </c>
      <c r="C210" s="64">
        <v>8902700</v>
      </c>
      <c r="D210" s="73">
        <f t="shared" si="18"/>
        <v>127000.00000000001</v>
      </c>
      <c r="E210" s="65" t="s">
        <v>285</v>
      </c>
      <c r="F210" s="114" t="s">
        <v>13</v>
      </c>
      <c r="G210" s="77">
        <v>4</v>
      </c>
      <c r="H210" s="64">
        <f t="shared" si="17"/>
        <v>35610800</v>
      </c>
    </row>
    <row r="211" spans="1:8" x14ac:dyDescent="0.2">
      <c r="A211" s="83">
        <v>2</v>
      </c>
      <c r="B211" s="83">
        <v>70.2</v>
      </c>
      <c r="C211" s="64">
        <v>8845200</v>
      </c>
      <c r="D211" s="73">
        <f t="shared" si="18"/>
        <v>126000</v>
      </c>
      <c r="E211" s="65" t="s">
        <v>30</v>
      </c>
      <c r="F211" s="114" t="s">
        <v>13</v>
      </c>
      <c r="G211" s="77">
        <v>1</v>
      </c>
      <c r="H211" s="64">
        <f t="shared" si="17"/>
        <v>8845200</v>
      </c>
    </row>
    <row r="212" spans="1:8" x14ac:dyDescent="0.2">
      <c r="A212" s="83">
        <v>3</v>
      </c>
      <c r="B212" s="83">
        <v>70.7</v>
      </c>
      <c r="C212" s="64">
        <v>9898000</v>
      </c>
      <c r="D212" s="73">
        <f t="shared" si="18"/>
        <v>140000</v>
      </c>
      <c r="E212" s="65" t="s">
        <v>14</v>
      </c>
      <c r="F212" s="114" t="s">
        <v>13</v>
      </c>
      <c r="G212" s="77">
        <v>1</v>
      </c>
      <c r="H212" s="64">
        <f t="shared" si="17"/>
        <v>9898000</v>
      </c>
    </row>
    <row r="213" spans="1:8" x14ac:dyDescent="0.2">
      <c r="A213" s="83">
        <v>3</v>
      </c>
      <c r="B213" s="87">
        <v>71</v>
      </c>
      <c r="C213" s="64">
        <v>10082000</v>
      </c>
      <c r="D213" s="73">
        <f t="shared" si="18"/>
        <v>142000</v>
      </c>
      <c r="E213" s="65" t="s">
        <v>164</v>
      </c>
      <c r="F213" s="114" t="s">
        <v>13</v>
      </c>
      <c r="G213" s="77">
        <v>2</v>
      </c>
      <c r="H213" s="64">
        <f t="shared" si="17"/>
        <v>20164000</v>
      </c>
    </row>
    <row r="214" spans="1:8" x14ac:dyDescent="0.2">
      <c r="A214" s="83">
        <v>3</v>
      </c>
      <c r="B214" s="87">
        <v>71.400000000000006</v>
      </c>
      <c r="C214" s="64">
        <v>9639000</v>
      </c>
      <c r="D214" s="73">
        <f t="shared" si="18"/>
        <v>135000</v>
      </c>
      <c r="E214" s="65" t="s">
        <v>15</v>
      </c>
      <c r="F214" s="114" t="s">
        <v>13</v>
      </c>
      <c r="G214" s="77">
        <v>1</v>
      </c>
      <c r="H214" s="64">
        <f t="shared" si="17"/>
        <v>9639000</v>
      </c>
    </row>
    <row r="215" spans="1:8" x14ac:dyDescent="0.2">
      <c r="A215" s="83">
        <v>3</v>
      </c>
      <c r="B215" s="83">
        <v>73.599999999999994</v>
      </c>
      <c r="C215" s="64">
        <v>10966400</v>
      </c>
      <c r="D215" s="73">
        <f t="shared" si="18"/>
        <v>149000</v>
      </c>
      <c r="E215" s="65" t="s">
        <v>14</v>
      </c>
      <c r="F215" s="114" t="s">
        <v>13</v>
      </c>
      <c r="G215" s="77">
        <v>1</v>
      </c>
      <c r="H215" s="64">
        <f t="shared" si="17"/>
        <v>10966400</v>
      </c>
    </row>
    <row r="216" spans="1:8" x14ac:dyDescent="0.2">
      <c r="A216" s="83">
        <v>3</v>
      </c>
      <c r="B216" s="83">
        <v>73.7</v>
      </c>
      <c r="C216" s="64">
        <v>12241570</v>
      </c>
      <c r="D216" s="73">
        <f t="shared" si="18"/>
        <v>166100</v>
      </c>
      <c r="E216" s="65" t="s">
        <v>138</v>
      </c>
      <c r="F216" s="114" t="s">
        <v>13</v>
      </c>
      <c r="G216" s="77">
        <v>1</v>
      </c>
      <c r="H216" s="64">
        <f t="shared" si="17"/>
        <v>12241570</v>
      </c>
    </row>
    <row r="217" spans="1:8" x14ac:dyDescent="0.2">
      <c r="A217" s="83">
        <v>3</v>
      </c>
      <c r="B217" s="83">
        <v>75.7</v>
      </c>
      <c r="C217" s="64">
        <v>11355000</v>
      </c>
      <c r="D217" s="73">
        <f t="shared" si="18"/>
        <v>150000</v>
      </c>
      <c r="E217" s="65" t="s">
        <v>286</v>
      </c>
      <c r="F217" s="114" t="s">
        <v>13</v>
      </c>
      <c r="G217" s="77">
        <v>3</v>
      </c>
      <c r="H217" s="64">
        <f t="shared" si="17"/>
        <v>34065000</v>
      </c>
    </row>
    <row r="218" spans="1:8" x14ac:dyDescent="0.2">
      <c r="A218" s="83">
        <v>3</v>
      </c>
      <c r="B218" s="83">
        <v>77.7</v>
      </c>
      <c r="C218" s="64">
        <v>10101000</v>
      </c>
      <c r="D218" s="73">
        <f t="shared" si="18"/>
        <v>130000</v>
      </c>
      <c r="E218" s="65" t="s">
        <v>112</v>
      </c>
      <c r="F218" s="114" t="s">
        <v>13</v>
      </c>
      <c r="G218" s="77">
        <v>2</v>
      </c>
      <c r="H218" s="64">
        <f t="shared" si="17"/>
        <v>20202000</v>
      </c>
    </row>
    <row r="219" spans="1:8" x14ac:dyDescent="0.2">
      <c r="A219" s="83">
        <v>3</v>
      </c>
      <c r="B219" s="83">
        <v>77.8</v>
      </c>
      <c r="C219" s="64">
        <v>9958400</v>
      </c>
      <c r="D219" s="73">
        <f t="shared" si="18"/>
        <v>128000</v>
      </c>
      <c r="E219" s="65" t="s">
        <v>17</v>
      </c>
      <c r="F219" s="114" t="s">
        <v>13</v>
      </c>
      <c r="G219" s="77">
        <v>1</v>
      </c>
      <c r="H219" s="64">
        <f t="shared" si="17"/>
        <v>9958400</v>
      </c>
    </row>
    <row r="220" spans="1:8" x14ac:dyDescent="0.2">
      <c r="A220" s="83">
        <v>3</v>
      </c>
      <c r="B220" s="83">
        <v>77.900000000000006</v>
      </c>
      <c r="C220" s="64">
        <v>10049100</v>
      </c>
      <c r="D220" s="73">
        <f t="shared" si="18"/>
        <v>128999.99999999999</v>
      </c>
      <c r="E220" s="65" t="s">
        <v>34</v>
      </c>
      <c r="F220" s="114" t="s">
        <v>13</v>
      </c>
      <c r="G220" s="77">
        <v>1</v>
      </c>
      <c r="H220" s="64">
        <f t="shared" si="17"/>
        <v>10049100</v>
      </c>
    </row>
    <row r="221" spans="1:8" x14ac:dyDescent="0.2">
      <c r="A221" s="83">
        <v>3</v>
      </c>
      <c r="B221" s="83">
        <v>78</v>
      </c>
      <c r="C221" s="64">
        <v>9984000</v>
      </c>
      <c r="D221" s="73">
        <f t="shared" si="18"/>
        <v>128000</v>
      </c>
      <c r="E221" s="65" t="s">
        <v>15</v>
      </c>
      <c r="F221" s="114" t="s">
        <v>13</v>
      </c>
      <c r="G221" s="77">
        <v>1</v>
      </c>
      <c r="H221" s="64">
        <f t="shared" si="17"/>
        <v>9984000</v>
      </c>
    </row>
    <row r="222" spans="1:8" x14ac:dyDescent="0.2">
      <c r="A222" s="83">
        <v>3</v>
      </c>
      <c r="B222" s="83">
        <v>80.599999999999994</v>
      </c>
      <c r="C222" s="64">
        <v>9833200</v>
      </c>
      <c r="D222" s="73">
        <f t="shared" si="18"/>
        <v>122000.00000000001</v>
      </c>
      <c r="E222" s="65" t="s">
        <v>15</v>
      </c>
      <c r="F222" s="114" t="s">
        <v>13</v>
      </c>
      <c r="G222" s="77">
        <v>1</v>
      </c>
      <c r="H222" s="64">
        <f t="shared" si="17"/>
        <v>9833200</v>
      </c>
    </row>
    <row r="223" spans="1:8" x14ac:dyDescent="0.2">
      <c r="A223" s="284" t="s">
        <v>79</v>
      </c>
      <c r="B223" s="283"/>
      <c r="C223" s="283"/>
      <c r="D223" s="283"/>
      <c r="E223" s="283"/>
      <c r="F223" s="283"/>
      <c r="G223" s="46"/>
      <c r="H223" s="204"/>
    </row>
    <row r="224" spans="1:8" x14ac:dyDescent="0.2">
      <c r="A224" s="61" t="s">
        <v>6</v>
      </c>
      <c r="B224" s="67" t="s">
        <v>7</v>
      </c>
      <c r="C224" s="201" t="s">
        <v>8</v>
      </c>
      <c r="D224" s="201" t="s">
        <v>11</v>
      </c>
      <c r="E224" s="68" t="s">
        <v>10</v>
      </c>
      <c r="F224" s="67" t="s">
        <v>9</v>
      </c>
      <c r="G224" s="46"/>
      <c r="H224" s="204"/>
    </row>
    <row r="225" spans="1:8" x14ac:dyDescent="0.2">
      <c r="A225" s="83" t="s">
        <v>16</v>
      </c>
      <c r="B225" s="83">
        <v>26.5</v>
      </c>
      <c r="C225" s="87">
        <v>4425500</v>
      </c>
      <c r="D225" s="87">
        <f>C225/B225</f>
        <v>167000</v>
      </c>
      <c r="E225" s="85" t="s">
        <v>37</v>
      </c>
      <c r="F225" s="83" t="s">
        <v>13</v>
      </c>
      <c r="G225" s="195">
        <v>1</v>
      </c>
      <c r="H225" s="64">
        <f t="shared" ref="H225:H262" si="19">G225*C225</f>
        <v>4425500</v>
      </c>
    </row>
    <row r="226" spans="1:8" x14ac:dyDescent="0.2">
      <c r="A226" s="83">
        <v>1</v>
      </c>
      <c r="B226" s="85" t="s">
        <v>153</v>
      </c>
      <c r="C226" s="87">
        <v>5264000</v>
      </c>
      <c r="D226" s="87">
        <f>C226/B226</f>
        <v>160000</v>
      </c>
      <c r="E226" s="85" t="s">
        <v>148</v>
      </c>
      <c r="F226" s="83" t="s">
        <v>13</v>
      </c>
      <c r="G226" s="86">
        <v>2</v>
      </c>
      <c r="H226" s="64">
        <f t="shared" si="19"/>
        <v>10528000</v>
      </c>
    </row>
    <row r="227" spans="1:8" x14ac:dyDescent="0.2">
      <c r="A227" s="83">
        <v>1</v>
      </c>
      <c r="B227" s="83">
        <v>32.9</v>
      </c>
      <c r="C227" s="56">
        <v>5527200</v>
      </c>
      <c r="D227" s="87">
        <f t="shared" ref="D227:D262" si="20">C227/B227</f>
        <v>168000</v>
      </c>
      <c r="E227" s="55" t="s">
        <v>70</v>
      </c>
      <c r="F227" s="36" t="s">
        <v>13</v>
      </c>
      <c r="G227" s="35">
        <v>1</v>
      </c>
      <c r="H227" s="64">
        <f t="shared" si="19"/>
        <v>5527200</v>
      </c>
    </row>
    <row r="228" spans="1:8" x14ac:dyDescent="0.2">
      <c r="A228" s="83">
        <v>1</v>
      </c>
      <c r="B228" s="83">
        <v>32.9</v>
      </c>
      <c r="C228" s="56">
        <v>6053600</v>
      </c>
      <c r="D228" s="87">
        <f t="shared" si="20"/>
        <v>184000</v>
      </c>
      <c r="E228" s="55" t="s">
        <v>15</v>
      </c>
      <c r="F228" s="36" t="s">
        <v>13</v>
      </c>
      <c r="G228" s="35">
        <v>1</v>
      </c>
      <c r="H228" s="64">
        <f t="shared" si="19"/>
        <v>6053600</v>
      </c>
    </row>
    <row r="229" spans="1:8" x14ac:dyDescent="0.2">
      <c r="A229" s="83">
        <v>1</v>
      </c>
      <c r="B229" s="83">
        <v>33.799999999999997</v>
      </c>
      <c r="C229" s="56">
        <v>5306600</v>
      </c>
      <c r="D229" s="56">
        <f t="shared" si="20"/>
        <v>157000</v>
      </c>
      <c r="E229" s="55" t="s">
        <v>351</v>
      </c>
      <c r="F229" s="36" t="s">
        <v>13</v>
      </c>
      <c r="G229" s="35">
        <v>3</v>
      </c>
      <c r="H229" s="64">
        <f t="shared" si="19"/>
        <v>15919800</v>
      </c>
    </row>
    <row r="230" spans="1:8" x14ac:dyDescent="0.2">
      <c r="A230" s="83">
        <v>1</v>
      </c>
      <c r="B230" s="83">
        <v>35.700000000000003</v>
      </c>
      <c r="C230" s="56">
        <v>6461700</v>
      </c>
      <c r="D230" s="56">
        <f t="shared" si="20"/>
        <v>181000</v>
      </c>
      <c r="E230" s="55" t="s">
        <v>15</v>
      </c>
      <c r="F230" s="36" t="s">
        <v>41</v>
      </c>
      <c r="G230" s="35">
        <v>1</v>
      </c>
      <c r="H230" s="64">
        <f t="shared" si="19"/>
        <v>6461700</v>
      </c>
    </row>
    <row r="231" spans="1:8" x14ac:dyDescent="0.2">
      <c r="A231" s="83">
        <v>1</v>
      </c>
      <c r="B231" s="83">
        <v>37.700000000000003</v>
      </c>
      <c r="C231" s="56">
        <v>6446700</v>
      </c>
      <c r="D231" s="56">
        <f t="shared" si="20"/>
        <v>171000</v>
      </c>
      <c r="E231" s="55" t="s">
        <v>15</v>
      </c>
      <c r="F231" s="36" t="s">
        <v>41</v>
      </c>
      <c r="G231" s="35">
        <v>1</v>
      </c>
      <c r="H231" s="64">
        <f t="shared" si="19"/>
        <v>6446700</v>
      </c>
    </row>
    <row r="232" spans="1:8" x14ac:dyDescent="0.2">
      <c r="A232" s="83">
        <v>1</v>
      </c>
      <c r="B232" s="83">
        <v>37.799999999999997</v>
      </c>
      <c r="C232" s="56">
        <v>5556600</v>
      </c>
      <c r="D232" s="56">
        <f t="shared" si="20"/>
        <v>147000</v>
      </c>
      <c r="E232" s="55" t="s">
        <v>352</v>
      </c>
      <c r="F232" s="36" t="s">
        <v>13</v>
      </c>
      <c r="G232" s="35">
        <v>3</v>
      </c>
      <c r="H232" s="64">
        <f t="shared" si="19"/>
        <v>16669800</v>
      </c>
    </row>
    <row r="233" spans="1:8" x14ac:dyDescent="0.2">
      <c r="A233" s="83">
        <v>2</v>
      </c>
      <c r="B233" s="83">
        <v>39.4</v>
      </c>
      <c r="C233" s="56">
        <v>6804380</v>
      </c>
      <c r="D233" s="56">
        <f t="shared" si="20"/>
        <v>172700</v>
      </c>
      <c r="E233" s="55" t="s">
        <v>70</v>
      </c>
      <c r="F233" s="36" t="s">
        <v>13</v>
      </c>
      <c r="G233" s="35">
        <v>1</v>
      </c>
      <c r="H233" s="64">
        <f t="shared" si="19"/>
        <v>6804380</v>
      </c>
    </row>
    <row r="234" spans="1:8" x14ac:dyDescent="0.2">
      <c r="A234" s="83">
        <v>2</v>
      </c>
      <c r="B234" s="83">
        <v>43.8</v>
      </c>
      <c r="C234" s="56">
        <v>6307200</v>
      </c>
      <c r="D234" s="56">
        <f t="shared" si="20"/>
        <v>144000</v>
      </c>
      <c r="E234" s="55" t="s">
        <v>142</v>
      </c>
      <c r="F234" s="36" t="s">
        <v>13</v>
      </c>
      <c r="G234" s="35">
        <v>2</v>
      </c>
      <c r="H234" s="64">
        <f t="shared" si="19"/>
        <v>12614400</v>
      </c>
    </row>
    <row r="235" spans="1:8" x14ac:dyDescent="0.2">
      <c r="A235" s="83">
        <v>2</v>
      </c>
      <c r="B235" s="83">
        <v>43.8</v>
      </c>
      <c r="C235" s="56">
        <v>7358400</v>
      </c>
      <c r="D235" s="56">
        <f t="shared" si="20"/>
        <v>168000</v>
      </c>
      <c r="E235" s="55" t="s">
        <v>48</v>
      </c>
      <c r="F235" s="36" t="s">
        <v>41</v>
      </c>
      <c r="G235" s="35">
        <v>2</v>
      </c>
      <c r="H235" s="64">
        <f t="shared" si="19"/>
        <v>14716800</v>
      </c>
    </row>
    <row r="236" spans="1:8" x14ac:dyDescent="0.2">
      <c r="A236" s="83">
        <v>2</v>
      </c>
      <c r="B236" s="83">
        <v>45.2</v>
      </c>
      <c r="C236" s="56">
        <v>6056800</v>
      </c>
      <c r="D236" s="56">
        <f t="shared" si="20"/>
        <v>134000</v>
      </c>
      <c r="E236" s="55" t="s">
        <v>353</v>
      </c>
      <c r="F236" s="36" t="s">
        <v>13</v>
      </c>
      <c r="G236" s="35">
        <v>4</v>
      </c>
      <c r="H236" s="64">
        <f t="shared" si="19"/>
        <v>24227200</v>
      </c>
    </row>
    <row r="237" spans="1:8" x14ac:dyDescent="0.2">
      <c r="A237" s="83">
        <v>2</v>
      </c>
      <c r="B237" s="83">
        <v>45.2</v>
      </c>
      <c r="C237" s="56">
        <v>6147200</v>
      </c>
      <c r="D237" s="56">
        <f t="shared" si="20"/>
        <v>136000</v>
      </c>
      <c r="E237" s="55" t="s">
        <v>178</v>
      </c>
      <c r="F237" s="36" t="s">
        <v>13</v>
      </c>
      <c r="G237" s="35">
        <v>3</v>
      </c>
      <c r="H237" s="64">
        <f t="shared" si="19"/>
        <v>18441600</v>
      </c>
    </row>
    <row r="238" spans="1:8" x14ac:dyDescent="0.2">
      <c r="A238" s="83">
        <v>2</v>
      </c>
      <c r="B238" s="83">
        <v>45.6</v>
      </c>
      <c r="C238" s="56">
        <v>6894720</v>
      </c>
      <c r="D238" s="56">
        <f t="shared" si="20"/>
        <v>151200</v>
      </c>
      <c r="E238" s="55" t="s">
        <v>152</v>
      </c>
      <c r="F238" s="36" t="s">
        <v>13</v>
      </c>
      <c r="G238" s="35">
        <v>1</v>
      </c>
      <c r="H238" s="64">
        <f t="shared" si="19"/>
        <v>6894720</v>
      </c>
    </row>
    <row r="239" spans="1:8" x14ac:dyDescent="0.2">
      <c r="A239" s="83">
        <v>2</v>
      </c>
      <c r="B239" s="83">
        <v>45.6</v>
      </c>
      <c r="C239" s="56">
        <v>7341600</v>
      </c>
      <c r="D239" s="56">
        <f t="shared" si="20"/>
        <v>161000</v>
      </c>
      <c r="E239" s="55" t="s">
        <v>15</v>
      </c>
      <c r="F239" s="36" t="s">
        <v>41</v>
      </c>
      <c r="G239" s="35">
        <v>1</v>
      </c>
      <c r="H239" s="64">
        <f t="shared" si="19"/>
        <v>7341600</v>
      </c>
    </row>
    <row r="240" spans="1:8" x14ac:dyDescent="0.2">
      <c r="A240" s="83">
        <v>2</v>
      </c>
      <c r="B240" s="83">
        <v>45.6</v>
      </c>
      <c r="C240" s="56">
        <v>7660800</v>
      </c>
      <c r="D240" s="56">
        <f t="shared" si="20"/>
        <v>168000</v>
      </c>
      <c r="E240" s="55" t="s">
        <v>82</v>
      </c>
      <c r="F240" s="36" t="s">
        <v>41</v>
      </c>
      <c r="G240" s="35">
        <v>3</v>
      </c>
      <c r="H240" s="64">
        <f t="shared" si="19"/>
        <v>22982400</v>
      </c>
    </row>
    <row r="241" spans="1:8" x14ac:dyDescent="0.2">
      <c r="A241" s="83">
        <v>3</v>
      </c>
      <c r="B241" s="83">
        <v>51.4</v>
      </c>
      <c r="C241" s="56">
        <v>6990400</v>
      </c>
      <c r="D241" s="56">
        <f t="shared" si="20"/>
        <v>136000</v>
      </c>
      <c r="E241" s="55" t="s">
        <v>142</v>
      </c>
      <c r="F241" s="36" t="s">
        <v>13</v>
      </c>
      <c r="G241" s="35">
        <v>2</v>
      </c>
      <c r="H241" s="64">
        <f t="shared" si="19"/>
        <v>13980800</v>
      </c>
    </row>
    <row r="242" spans="1:8" x14ac:dyDescent="0.2">
      <c r="A242" s="83">
        <v>2</v>
      </c>
      <c r="B242" s="83">
        <v>56.7</v>
      </c>
      <c r="C242" s="56">
        <v>7484400</v>
      </c>
      <c r="D242" s="56">
        <f t="shared" si="20"/>
        <v>132000</v>
      </c>
      <c r="E242" s="55" t="s">
        <v>177</v>
      </c>
      <c r="F242" s="36" t="s">
        <v>13</v>
      </c>
      <c r="G242" s="35">
        <v>3</v>
      </c>
      <c r="H242" s="64">
        <f t="shared" si="19"/>
        <v>22453200</v>
      </c>
    </row>
    <row r="243" spans="1:8" x14ac:dyDescent="0.2">
      <c r="A243" s="83">
        <v>3</v>
      </c>
      <c r="B243" s="83">
        <v>56.9</v>
      </c>
      <c r="C243" s="56">
        <v>7169400</v>
      </c>
      <c r="D243" s="56">
        <f t="shared" si="20"/>
        <v>126000</v>
      </c>
      <c r="E243" s="55" t="s">
        <v>341</v>
      </c>
      <c r="F243" s="36" t="s">
        <v>13</v>
      </c>
      <c r="G243" s="35">
        <v>4</v>
      </c>
      <c r="H243" s="64">
        <f t="shared" si="19"/>
        <v>28677600</v>
      </c>
    </row>
    <row r="244" spans="1:8" x14ac:dyDescent="0.2">
      <c r="A244" s="83">
        <v>2</v>
      </c>
      <c r="B244" s="83">
        <v>56.9</v>
      </c>
      <c r="C244" s="56">
        <v>7169400</v>
      </c>
      <c r="D244" s="56">
        <f t="shared" si="20"/>
        <v>126000</v>
      </c>
      <c r="E244" s="55" t="s">
        <v>179</v>
      </c>
      <c r="F244" s="36" t="s">
        <v>13</v>
      </c>
      <c r="G244" s="35">
        <v>4</v>
      </c>
      <c r="H244" s="64">
        <f t="shared" si="19"/>
        <v>28677600</v>
      </c>
    </row>
    <row r="245" spans="1:8" x14ac:dyDescent="0.2">
      <c r="A245" s="83">
        <v>2</v>
      </c>
      <c r="B245" s="83">
        <v>56.9</v>
      </c>
      <c r="C245" s="56">
        <v>7709950</v>
      </c>
      <c r="D245" s="56">
        <f t="shared" si="20"/>
        <v>135500</v>
      </c>
      <c r="E245" s="55" t="s">
        <v>152</v>
      </c>
      <c r="F245" s="36" t="s">
        <v>13</v>
      </c>
      <c r="G245" s="35">
        <v>1</v>
      </c>
      <c r="H245" s="64">
        <f t="shared" si="19"/>
        <v>7709950</v>
      </c>
    </row>
    <row r="246" spans="1:8" x14ac:dyDescent="0.2">
      <c r="A246" s="83">
        <v>3</v>
      </c>
      <c r="B246" s="83">
        <v>56.9</v>
      </c>
      <c r="C246" s="56">
        <v>8535000</v>
      </c>
      <c r="D246" s="56">
        <f t="shared" si="20"/>
        <v>150000</v>
      </c>
      <c r="E246" s="55" t="s">
        <v>83</v>
      </c>
      <c r="F246" s="36" t="s">
        <v>41</v>
      </c>
      <c r="G246" s="35">
        <v>2</v>
      </c>
      <c r="H246" s="64">
        <f t="shared" si="19"/>
        <v>17070000</v>
      </c>
    </row>
    <row r="247" spans="1:8" x14ac:dyDescent="0.2">
      <c r="A247" s="83">
        <v>2</v>
      </c>
      <c r="B247" s="83">
        <v>56.9</v>
      </c>
      <c r="C247" s="56">
        <v>8535000</v>
      </c>
      <c r="D247" s="56">
        <f t="shared" si="20"/>
        <v>150000</v>
      </c>
      <c r="E247" s="55" t="s">
        <v>83</v>
      </c>
      <c r="F247" s="36" t="s">
        <v>41</v>
      </c>
      <c r="G247" s="35">
        <v>2</v>
      </c>
      <c r="H247" s="64">
        <f t="shared" si="19"/>
        <v>17070000</v>
      </c>
    </row>
    <row r="248" spans="1:8" x14ac:dyDescent="0.2">
      <c r="A248" s="83">
        <v>2</v>
      </c>
      <c r="B248" s="83">
        <v>56.9</v>
      </c>
      <c r="C248" s="56">
        <v>8705700</v>
      </c>
      <c r="D248" s="56">
        <f t="shared" si="20"/>
        <v>153000</v>
      </c>
      <c r="E248" s="55" t="s">
        <v>168</v>
      </c>
      <c r="F248" s="36" t="s">
        <v>41</v>
      </c>
      <c r="G248" s="35">
        <v>2</v>
      </c>
      <c r="H248" s="64">
        <f t="shared" si="19"/>
        <v>17411400</v>
      </c>
    </row>
    <row r="249" spans="1:8" x14ac:dyDescent="0.2">
      <c r="A249" s="83">
        <v>2</v>
      </c>
      <c r="B249" s="83">
        <v>59.2</v>
      </c>
      <c r="C249" s="56">
        <v>7518400</v>
      </c>
      <c r="D249" s="56">
        <f t="shared" si="20"/>
        <v>127000</v>
      </c>
      <c r="E249" s="55" t="s">
        <v>167</v>
      </c>
      <c r="F249" s="36" t="s">
        <v>13</v>
      </c>
      <c r="G249" s="35">
        <v>3</v>
      </c>
      <c r="H249" s="64">
        <f t="shared" si="19"/>
        <v>22555200</v>
      </c>
    </row>
    <row r="250" spans="1:8" x14ac:dyDescent="0.2">
      <c r="A250" s="83">
        <v>2</v>
      </c>
      <c r="B250" s="83">
        <v>59.2</v>
      </c>
      <c r="C250" s="56">
        <v>8939200</v>
      </c>
      <c r="D250" s="56">
        <f t="shared" si="20"/>
        <v>151000</v>
      </c>
      <c r="E250" s="55" t="s">
        <v>48</v>
      </c>
      <c r="F250" s="36" t="s">
        <v>41</v>
      </c>
      <c r="G250" s="35">
        <v>2</v>
      </c>
      <c r="H250" s="64">
        <f t="shared" si="19"/>
        <v>17878400</v>
      </c>
    </row>
    <row r="251" spans="1:8" x14ac:dyDescent="0.2">
      <c r="A251" s="83">
        <v>3</v>
      </c>
      <c r="B251" s="83">
        <v>59.6</v>
      </c>
      <c r="C251" s="56">
        <v>7688400</v>
      </c>
      <c r="D251" s="56">
        <f t="shared" si="20"/>
        <v>129000</v>
      </c>
      <c r="E251" s="55" t="s">
        <v>354</v>
      </c>
      <c r="F251" s="36" t="s">
        <v>13</v>
      </c>
      <c r="G251" s="35">
        <v>2</v>
      </c>
      <c r="H251" s="64">
        <f t="shared" si="19"/>
        <v>15376800</v>
      </c>
    </row>
    <row r="252" spans="1:8" x14ac:dyDescent="0.2">
      <c r="A252" s="83">
        <v>3</v>
      </c>
      <c r="B252" s="83">
        <v>59.6</v>
      </c>
      <c r="C252" s="56">
        <v>7926800</v>
      </c>
      <c r="D252" s="56">
        <f t="shared" si="20"/>
        <v>133000</v>
      </c>
      <c r="E252" s="55" t="s">
        <v>354</v>
      </c>
      <c r="F252" s="36" t="s">
        <v>13</v>
      </c>
      <c r="G252" s="35">
        <v>2</v>
      </c>
      <c r="H252" s="64">
        <f t="shared" si="19"/>
        <v>15853600</v>
      </c>
    </row>
    <row r="253" spans="1:8" x14ac:dyDescent="0.2">
      <c r="A253" s="83">
        <v>3</v>
      </c>
      <c r="B253" s="83">
        <v>59.6</v>
      </c>
      <c r="C253" s="56">
        <v>9118800</v>
      </c>
      <c r="D253" s="56">
        <f t="shared" si="20"/>
        <v>153000</v>
      </c>
      <c r="E253" s="55" t="s">
        <v>82</v>
      </c>
      <c r="F253" s="36" t="s">
        <v>41</v>
      </c>
      <c r="G253" s="35">
        <v>3</v>
      </c>
      <c r="H253" s="64">
        <f t="shared" si="19"/>
        <v>27356400</v>
      </c>
    </row>
    <row r="254" spans="1:8" x14ac:dyDescent="0.2">
      <c r="A254" s="83">
        <v>3</v>
      </c>
      <c r="B254" s="83">
        <v>59.6</v>
      </c>
      <c r="C254" s="56">
        <v>9357200</v>
      </c>
      <c r="D254" s="56">
        <f t="shared" si="20"/>
        <v>157000</v>
      </c>
      <c r="E254" s="55" t="s">
        <v>48</v>
      </c>
      <c r="F254" s="36" t="s">
        <v>41</v>
      </c>
      <c r="G254" s="35">
        <v>2</v>
      </c>
      <c r="H254" s="64">
        <f t="shared" si="19"/>
        <v>18714400</v>
      </c>
    </row>
    <row r="255" spans="1:8" x14ac:dyDescent="0.2">
      <c r="A255" s="83">
        <v>3</v>
      </c>
      <c r="B255" s="83">
        <v>64.2</v>
      </c>
      <c r="C255" s="56">
        <v>7960800</v>
      </c>
      <c r="D255" s="56">
        <f t="shared" si="20"/>
        <v>124000</v>
      </c>
      <c r="E255" s="55" t="s">
        <v>355</v>
      </c>
      <c r="F255" s="36" t="s">
        <v>13</v>
      </c>
      <c r="G255" s="35">
        <v>4</v>
      </c>
      <c r="H255" s="64">
        <f t="shared" si="19"/>
        <v>31843200</v>
      </c>
    </row>
    <row r="256" spans="1:8" x14ac:dyDescent="0.2">
      <c r="A256" s="83">
        <v>3</v>
      </c>
      <c r="B256" s="83">
        <v>64.2</v>
      </c>
      <c r="C256" s="56">
        <v>9373200</v>
      </c>
      <c r="D256" s="56">
        <f t="shared" si="20"/>
        <v>146000</v>
      </c>
      <c r="E256" s="55" t="s">
        <v>15</v>
      </c>
      <c r="F256" s="36" t="s">
        <v>41</v>
      </c>
      <c r="G256" s="35">
        <v>1</v>
      </c>
      <c r="H256" s="64">
        <f t="shared" si="19"/>
        <v>9373200</v>
      </c>
    </row>
    <row r="257" spans="1:8" x14ac:dyDescent="0.2">
      <c r="A257" s="83">
        <v>3</v>
      </c>
      <c r="B257" s="83">
        <v>64.2</v>
      </c>
      <c r="C257" s="56">
        <v>9373200</v>
      </c>
      <c r="D257" s="56">
        <f t="shared" si="20"/>
        <v>146000</v>
      </c>
      <c r="E257" s="55" t="s">
        <v>15</v>
      </c>
      <c r="F257" s="36" t="s">
        <v>41</v>
      </c>
      <c r="G257" s="35">
        <v>1</v>
      </c>
      <c r="H257" s="64">
        <f t="shared" si="19"/>
        <v>9373200</v>
      </c>
    </row>
    <row r="258" spans="1:8" x14ac:dyDescent="0.2">
      <c r="A258" s="83">
        <v>3</v>
      </c>
      <c r="B258" s="83">
        <v>64.2</v>
      </c>
      <c r="C258" s="56">
        <v>9501600</v>
      </c>
      <c r="D258" s="56">
        <f t="shared" si="20"/>
        <v>148000</v>
      </c>
      <c r="E258" s="55" t="s">
        <v>14</v>
      </c>
      <c r="F258" s="36" t="s">
        <v>91</v>
      </c>
      <c r="G258" s="35">
        <v>1</v>
      </c>
      <c r="H258" s="64">
        <f t="shared" si="19"/>
        <v>9501600</v>
      </c>
    </row>
    <row r="259" spans="1:8" x14ac:dyDescent="0.2">
      <c r="A259" s="83">
        <v>3</v>
      </c>
      <c r="B259" s="83">
        <v>64.5</v>
      </c>
      <c r="C259" s="56">
        <v>7869000</v>
      </c>
      <c r="D259" s="56">
        <f t="shared" si="20"/>
        <v>122000</v>
      </c>
      <c r="E259" s="55" t="s">
        <v>356</v>
      </c>
      <c r="F259" s="36" t="s">
        <v>13</v>
      </c>
      <c r="G259" s="35">
        <v>5</v>
      </c>
      <c r="H259" s="64">
        <f t="shared" si="19"/>
        <v>39345000</v>
      </c>
    </row>
    <row r="260" spans="1:8" x14ac:dyDescent="0.2">
      <c r="A260" s="83">
        <v>3</v>
      </c>
      <c r="B260" s="83">
        <v>64.5</v>
      </c>
      <c r="C260" s="56">
        <v>9417000</v>
      </c>
      <c r="D260" s="56">
        <f t="shared" si="20"/>
        <v>146000</v>
      </c>
      <c r="E260" s="55" t="s">
        <v>83</v>
      </c>
      <c r="F260" s="36" t="s">
        <v>41</v>
      </c>
      <c r="G260" s="35">
        <v>2</v>
      </c>
      <c r="H260" s="64">
        <f t="shared" si="19"/>
        <v>18834000</v>
      </c>
    </row>
    <row r="261" spans="1:8" x14ac:dyDescent="0.2">
      <c r="A261" s="83">
        <v>3</v>
      </c>
      <c r="B261" s="83">
        <v>76</v>
      </c>
      <c r="C261" s="56">
        <v>9272000</v>
      </c>
      <c r="D261" s="56">
        <f t="shared" si="20"/>
        <v>122000</v>
      </c>
      <c r="E261" s="55" t="s">
        <v>357</v>
      </c>
      <c r="F261" s="36" t="s">
        <v>13</v>
      </c>
      <c r="G261" s="35">
        <v>2</v>
      </c>
      <c r="H261" s="64">
        <f t="shared" si="19"/>
        <v>18544000</v>
      </c>
    </row>
    <row r="262" spans="1:8" x14ac:dyDescent="0.2">
      <c r="A262" s="83">
        <v>3</v>
      </c>
      <c r="B262" s="83">
        <v>76</v>
      </c>
      <c r="C262" s="56">
        <v>11096000</v>
      </c>
      <c r="D262" s="56">
        <f t="shared" si="20"/>
        <v>146000</v>
      </c>
      <c r="E262" s="55" t="s">
        <v>82</v>
      </c>
      <c r="F262" s="36" t="s">
        <v>41</v>
      </c>
      <c r="G262" s="35">
        <v>3</v>
      </c>
      <c r="H262" s="64">
        <f t="shared" si="19"/>
        <v>33288000</v>
      </c>
    </row>
    <row r="263" spans="1:8" x14ac:dyDescent="0.2">
      <c r="A263" s="286" t="s">
        <v>292</v>
      </c>
      <c r="B263" s="287"/>
      <c r="C263" s="287"/>
      <c r="D263" s="287"/>
      <c r="E263" s="287"/>
      <c r="F263" s="287"/>
      <c r="G263" s="8"/>
      <c r="H263" s="38"/>
    </row>
    <row r="264" spans="1:8" x14ac:dyDescent="0.2">
      <c r="A264" s="61" t="s">
        <v>6</v>
      </c>
      <c r="B264" s="67" t="s">
        <v>7</v>
      </c>
      <c r="C264" s="201" t="s">
        <v>8</v>
      </c>
      <c r="D264" s="201" t="s">
        <v>11</v>
      </c>
      <c r="E264" s="68" t="s">
        <v>10</v>
      </c>
      <c r="F264" s="67" t="s">
        <v>9</v>
      </c>
      <c r="G264" s="197"/>
      <c r="H264" s="6"/>
    </row>
    <row r="265" spans="1:8" x14ac:dyDescent="0.2">
      <c r="A265" s="5">
        <v>1</v>
      </c>
      <c r="B265" s="88">
        <v>31.8</v>
      </c>
      <c r="C265" s="6">
        <v>4324800</v>
      </c>
      <c r="D265" s="6">
        <f>C265/B265</f>
        <v>136000</v>
      </c>
      <c r="E265" s="198" t="s">
        <v>15</v>
      </c>
      <c r="F265" s="5" t="s">
        <v>13</v>
      </c>
      <c r="G265" s="197">
        <v>1</v>
      </c>
      <c r="H265" s="64">
        <f t="shared" ref="H265:H283" si="21">G265*C265</f>
        <v>4324800</v>
      </c>
    </row>
    <row r="266" spans="1:8" x14ac:dyDescent="0.2">
      <c r="A266" s="5">
        <v>1</v>
      </c>
      <c r="B266" s="88">
        <v>31.8</v>
      </c>
      <c r="C266" s="6">
        <v>4388400</v>
      </c>
      <c r="D266" s="6">
        <f>C266/B266</f>
        <v>138000</v>
      </c>
      <c r="E266" s="198" t="s">
        <v>358</v>
      </c>
      <c r="F266" s="5" t="s">
        <v>13</v>
      </c>
      <c r="G266" s="197">
        <v>2</v>
      </c>
      <c r="H266" s="64"/>
    </row>
    <row r="267" spans="1:8" x14ac:dyDescent="0.2">
      <c r="A267" s="5">
        <v>1</v>
      </c>
      <c r="B267" s="88">
        <v>33.799999999999997</v>
      </c>
      <c r="C267" s="6">
        <v>4427800</v>
      </c>
      <c r="D267" s="6">
        <f t="shared" ref="D267:D283" si="22">C267/B267</f>
        <v>131000.00000000001</v>
      </c>
      <c r="E267" s="198" t="s">
        <v>15</v>
      </c>
      <c r="F267" s="5" t="s">
        <v>13</v>
      </c>
      <c r="G267" s="197">
        <v>1</v>
      </c>
      <c r="H267" s="64">
        <f t="shared" si="21"/>
        <v>4427800</v>
      </c>
    </row>
    <row r="268" spans="1:8" x14ac:dyDescent="0.2">
      <c r="A268" s="5">
        <v>1</v>
      </c>
      <c r="B268" s="88">
        <v>33.799999999999997</v>
      </c>
      <c r="C268" s="6">
        <v>4427800</v>
      </c>
      <c r="D268" s="6">
        <f t="shared" si="22"/>
        <v>131000.00000000001</v>
      </c>
      <c r="E268" s="198" t="s">
        <v>359</v>
      </c>
      <c r="F268" s="5" t="s">
        <v>13</v>
      </c>
      <c r="G268" s="197">
        <v>3</v>
      </c>
      <c r="H268" s="64"/>
    </row>
    <row r="269" spans="1:8" x14ac:dyDescent="0.2">
      <c r="A269" s="5">
        <v>1</v>
      </c>
      <c r="B269" s="88">
        <v>35.700000000000003</v>
      </c>
      <c r="C269" s="6">
        <v>4569600</v>
      </c>
      <c r="D269" s="6">
        <f t="shared" si="22"/>
        <v>127999.99999999999</v>
      </c>
      <c r="E269" s="198" t="s">
        <v>360</v>
      </c>
      <c r="F269" s="5" t="s">
        <v>13</v>
      </c>
      <c r="G269" s="197">
        <v>2</v>
      </c>
      <c r="H269" s="64">
        <f t="shared" si="21"/>
        <v>9139200</v>
      </c>
    </row>
    <row r="270" spans="1:8" x14ac:dyDescent="0.2">
      <c r="A270" s="5">
        <v>1</v>
      </c>
      <c r="B270" s="88">
        <v>35.700000000000003</v>
      </c>
      <c r="C270" s="6">
        <v>4533900</v>
      </c>
      <c r="D270" s="6">
        <f t="shared" si="22"/>
        <v>126999.99999999999</v>
      </c>
      <c r="E270" s="198" t="s">
        <v>15</v>
      </c>
      <c r="F270" s="5" t="s">
        <v>13</v>
      </c>
      <c r="G270" s="197">
        <v>1</v>
      </c>
      <c r="H270" s="64">
        <f t="shared" si="21"/>
        <v>4533900</v>
      </c>
    </row>
    <row r="271" spans="1:8" x14ac:dyDescent="0.2">
      <c r="A271" s="5">
        <v>2</v>
      </c>
      <c r="B271" s="88">
        <v>43.8</v>
      </c>
      <c r="C271" s="6">
        <v>5343600</v>
      </c>
      <c r="D271" s="6">
        <f t="shared" si="22"/>
        <v>122000.00000000001</v>
      </c>
      <c r="E271" s="198" t="s">
        <v>15</v>
      </c>
      <c r="F271" s="5" t="s">
        <v>13</v>
      </c>
      <c r="G271" s="197">
        <v>1</v>
      </c>
      <c r="H271" s="64">
        <f t="shared" si="21"/>
        <v>5343600</v>
      </c>
    </row>
    <row r="272" spans="1:8" x14ac:dyDescent="0.2">
      <c r="A272" s="5">
        <v>2</v>
      </c>
      <c r="B272" s="88">
        <v>43.8</v>
      </c>
      <c r="C272" s="6">
        <v>5343600</v>
      </c>
      <c r="D272" s="6">
        <f t="shared" si="22"/>
        <v>122000.00000000001</v>
      </c>
      <c r="E272" s="198" t="s">
        <v>49</v>
      </c>
      <c r="F272" s="5" t="s">
        <v>13</v>
      </c>
      <c r="G272" s="197">
        <v>2</v>
      </c>
      <c r="H272" s="64">
        <f t="shared" si="21"/>
        <v>10687200</v>
      </c>
    </row>
    <row r="273" spans="1:8" x14ac:dyDescent="0.2">
      <c r="A273" s="5">
        <v>2</v>
      </c>
      <c r="B273" s="88">
        <v>45.6</v>
      </c>
      <c r="C273" s="6">
        <v>5472000</v>
      </c>
      <c r="D273" s="6">
        <f t="shared" si="22"/>
        <v>120000</v>
      </c>
      <c r="E273" s="198" t="s">
        <v>361</v>
      </c>
      <c r="F273" s="5" t="s">
        <v>13</v>
      </c>
      <c r="G273" s="197">
        <v>6</v>
      </c>
      <c r="H273" s="64">
        <f t="shared" si="21"/>
        <v>32832000</v>
      </c>
    </row>
    <row r="274" spans="1:8" x14ac:dyDescent="0.2">
      <c r="A274" s="5">
        <v>2</v>
      </c>
      <c r="B274" s="88">
        <v>45.6</v>
      </c>
      <c r="C274" s="6">
        <v>5472000</v>
      </c>
      <c r="D274" s="6">
        <f t="shared" si="22"/>
        <v>120000</v>
      </c>
      <c r="E274" s="198" t="s">
        <v>15</v>
      </c>
      <c r="F274" s="5" t="s">
        <v>13</v>
      </c>
      <c r="G274" s="197">
        <v>1</v>
      </c>
      <c r="H274" s="64">
        <f t="shared" si="21"/>
        <v>5472000</v>
      </c>
    </row>
    <row r="275" spans="1:8" x14ac:dyDescent="0.2">
      <c r="A275" s="5">
        <v>3</v>
      </c>
      <c r="B275" s="88">
        <v>51.4</v>
      </c>
      <c r="C275" s="6">
        <v>6116600</v>
      </c>
      <c r="D275" s="6">
        <f t="shared" si="22"/>
        <v>119000</v>
      </c>
      <c r="E275" s="198" t="s">
        <v>15</v>
      </c>
      <c r="F275" s="5" t="s">
        <v>13</v>
      </c>
      <c r="G275" s="197">
        <v>1</v>
      </c>
      <c r="H275" s="64">
        <f t="shared" si="21"/>
        <v>6116600</v>
      </c>
    </row>
    <row r="276" spans="1:8" x14ac:dyDescent="0.2">
      <c r="A276" s="5">
        <v>3</v>
      </c>
      <c r="B276" s="88">
        <v>51.4</v>
      </c>
      <c r="C276" s="6">
        <v>6116600</v>
      </c>
      <c r="D276" s="6">
        <f t="shared" si="22"/>
        <v>119000</v>
      </c>
      <c r="E276" s="198" t="s">
        <v>362</v>
      </c>
      <c r="F276" s="5" t="s">
        <v>13</v>
      </c>
      <c r="G276" s="197">
        <v>2</v>
      </c>
      <c r="H276" s="64">
        <f t="shared" si="21"/>
        <v>12233200</v>
      </c>
    </row>
    <row r="277" spans="1:8" x14ac:dyDescent="0.2">
      <c r="A277" s="5">
        <v>3</v>
      </c>
      <c r="B277" s="88">
        <v>56.9</v>
      </c>
      <c r="C277" s="6">
        <v>6600400</v>
      </c>
      <c r="D277" s="6">
        <f t="shared" si="22"/>
        <v>116000</v>
      </c>
      <c r="E277" s="198" t="s">
        <v>15</v>
      </c>
      <c r="F277" s="5" t="s">
        <v>13</v>
      </c>
      <c r="G277" s="197">
        <v>1</v>
      </c>
      <c r="H277" s="64">
        <f t="shared" si="21"/>
        <v>6600400</v>
      </c>
    </row>
    <row r="278" spans="1:8" x14ac:dyDescent="0.2">
      <c r="A278" s="5">
        <v>2</v>
      </c>
      <c r="B278" s="88">
        <v>56.9</v>
      </c>
      <c r="C278" s="6">
        <v>6714200</v>
      </c>
      <c r="D278" s="6">
        <f t="shared" si="22"/>
        <v>118000</v>
      </c>
      <c r="E278" s="198" t="s">
        <v>363</v>
      </c>
      <c r="F278" s="5" t="s">
        <v>13</v>
      </c>
      <c r="G278" s="197">
        <v>4</v>
      </c>
      <c r="H278" s="64">
        <f t="shared" si="21"/>
        <v>26856800</v>
      </c>
    </row>
    <row r="279" spans="1:8" x14ac:dyDescent="0.2">
      <c r="A279" s="5">
        <v>3</v>
      </c>
      <c r="B279" s="88">
        <v>56.9</v>
      </c>
      <c r="C279" s="6">
        <v>6600400</v>
      </c>
      <c r="D279" s="6">
        <f t="shared" si="22"/>
        <v>116000</v>
      </c>
      <c r="E279" s="198" t="s">
        <v>293</v>
      </c>
      <c r="F279" s="5" t="s">
        <v>13</v>
      </c>
      <c r="G279" s="197">
        <v>4</v>
      </c>
      <c r="H279" s="64">
        <f t="shared" si="21"/>
        <v>26401600</v>
      </c>
    </row>
    <row r="280" spans="1:8" x14ac:dyDescent="0.2">
      <c r="A280" s="5">
        <v>2</v>
      </c>
      <c r="B280" s="88">
        <v>59.2</v>
      </c>
      <c r="C280" s="6">
        <v>6985600</v>
      </c>
      <c r="D280" s="6">
        <f t="shared" si="22"/>
        <v>118000</v>
      </c>
      <c r="E280" s="198" t="s">
        <v>15</v>
      </c>
      <c r="F280" s="5" t="s">
        <v>13</v>
      </c>
      <c r="G280" s="197">
        <v>1</v>
      </c>
      <c r="H280" s="64">
        <f t="shared" si="21"/>
        <v>6985600</v>
      </c>
    </row>
    <row r="281" spans="1:8" x14ac:dyDescent="0.2">
      <c r="A281" s="5">
        <v>2</v>
      </c>
      <c r="B281" s="88">
        <v>59.2</v>
      </c>
      <c r="C281" s="6">
        <v>6985600</v>
      </c>
      <c r="D281" s="6">
        <f t="shared" si="22"/>
        <v>118000</v>
      </c>
      <c r="E281" s="198" t="s">
        <v>364</v>
      </c>
      <c r="F281" s="5" t="s">
        <v>13</v>
      </c>
      <c r="G281" s="197">
        <v>3</v>
      </c>
      <c r="H281" s="64">
        <f t="shared" si="21"/>
        <v>20956800</v>
      </c>
    </row>
    <row r="282" spans="1:8" x14ac:dyDescent="0.2">
      <c r="A282" s="5">
        <v>3</v>
      </c>
      <c r="B282" s="88">
        <v>76</v>
      </c>
      <c r="C282" s="6">
        <v>8436000</v>
      </c>
      <c r="D282" s="6">
        <f t="shared" si="22"/>
        <v>111000</v>
      </c>
      <c r="E282" s="198" t="s">
        <v>15</v>
      </c>
      <c r="F282" s="5" t="s">
        <v>13</v>
      </c>
      <c r="G282" s="197">
        <v>1</v>
      </c>
      <c r="H282" s="64">
        <f t="shared" si="21"/>
        <v>8436000</v>
      </c>
    </row>
    <row r="283" spans="1:8" x14ac:dyDescent="0.2">
      <c r="A283" s="5">
        <v>3</v>
      </c>
      <c r="B283" s="88">
        <v>76</v>
      </c>
      <c r="C283" s="6">
        <v>8436000</v>
      </c>
      <c r="D283" s="6">
        <f t="shared" si="22"/>
        <v>111000</v>
      </c>
      <c r="E283" s="198" t="s">
        <v>294</v>
      </c>
      <c r="F283" s="5" t="s">
        <v>13</v>
      </c>
      <c r="G283" s="197">
        <v>5</v>
      </c>
      <c r="H283" s="64">
        <f t="shared" si="21"/>
        <v>42180000</v>
      </c>
    </row>
    <row r="284" spans="1:8" x14ac:dyDescent="0.2">
      <c r="A284" s="282" t="s">
        <v>77</v>
      </c>
      <c r="B284" s="283"/>
      <c r="C284" s="283"/>
      <c r="D284" s="283"/>
      <c r="E284" s="283"/>
      <c r="F284" s="283"/>
      <c r="G284" s="46"/>
      <c r="H284" s="204"/>
    </row>
    <row r="285" spans="1:8" x14ac:dyDescent="0.2">
      <c r="A285" s="61" t="s">
        <v>6</v>
      </c>
      <c r="B285" s="67" t="s">
        <v>7</v>
      </c>
      <c r="C285" s="201" t="s">
        <v>8</v>
      </c>
      <c r="D285" s="201" t="s">
        <v>11</v>
      </c>
      <c r="E285" s="68" t="s">
        <v>10</v>
      </c>
      <c r="F285" s="67" t="s">
        <v>9</v>
      </c>
      <c r="G285" s="46"/>
      <c r="H285" s="204"/>
    </row>
    <row r="286" spans="1:8" x14ac:dyDescent="0.2">
      <c r="A286" s="83">
        <v>1</v>
      </c>
      <c r="B286" s="83">
        <v>37.200000000000003</v>
      </c>
      <c r="C286" s="87">
        <v>5766000</v>
      </c>
      <c r="D286" s="87">
        <f>C286/B286</f>
        <v>155000</v>
      </c>
      <c r="E286" s="85" t="s">
        <v>34</v>
      </c>
      <c r="F286" s="83" t="s">
        <v>13</v>
      </c>
      <c r="G286" s="35">
        <v>1</v>
      </c>
      <c r="H286" s="64">
        <f t="shared" ref="H286:H323" si="23">G286*C286</f>
        <v>5766000</v>
      </c>
    </row>
    <row r="287" spans="1:8" x14ac:dyDescent="0.2">
      <c r="A287" s="83">
        <v>1</v>
      </c>
      <c r="B287" s="83">
        <v>37.200000000000003</v>
      </c>
      <c r="C287" s="56">
        <v>6342600</v>
      </c>
      <c r="D287" s="56">
        <f t="shared" ref="D287:D324" si="24">C287/B287</f>
        <v>170500</v>
      </c>
      <c r="E287" s="55" t="s">
        <v>27</v>
      </c>
      <c r="F287" s="36" t="s">
        <v>13</v>
      </c>
      <c r="G287" s="35">
        <v>1</v>
      </c>
      <c r="H287" s="64">
        <f t="shared" si="23"/>
        <v>6342600</v>
      </c>
    </row>
    <row r="288" spans="1:8" x14ac:dyDescent="0.2">
      <c r="A288" s="83">
        <v>1</v>
      </c>
      <c r="B288" s="83">
        <v>37.700000000000003</v>
      </c>
      <c r="C288" s="56">
        <v>6427850</v>
      </c>
      <c r="D288" s="56">
        <f t="shared" si="24"/>
        <v>170500</v>
      </c>
      <c r="E288" s="55" t="s">
        <v>27</v>
      </c>
      <c r="F288" s="36" t="s">
        <v>13</v>
      </c>
      <c r="G288" s="35">
        <v>1</v>
      </c>
      <c r="H288" s="64">
        <f t="shared" si="23"/>
        <v>6427850</v>
      </c>
    </row>
    <row r="289" spans="1:8" x14ac:dyDescent="0.2">
      <c r="A289" s="83">
        <v>1</v>
      </c>
      <c r="B289" s="83">
        <v>38.299999999999997</v>
      </c>
      <c r="C289" s="56">
        <v>5936500</v>
      </c>
      <c r="D289" s="56">
        <f t="shared" si="24"/>
        <v>155000</v>
      </c>
      <c r="E289" s="55" t="s">
        <v>34</v>
      </c>
      <c r="F289" s="36" t="s">
        <v>13</v>
      </c>
      <c r="G289" s="35">
        <v>1</v>
      </c>
      <c r="H289" s="64">
        <f t="shared" si="23"/>
        <v>5936500</v>
      </c>
    </row>
    <row r="290" spans="1:8" x14ac:dyDescent="0.2">
      <c r="A290" s="83">
        <v>1</v>
      </c>
      <c r="B290" s="83">
        <v>38.299999999999997</v>
      </c>
      <c r="C290" s="56">
        <v>6530150</v>
      </c>
      <c r="D290" s="56">
        <f t="shared" si="24"/>
        <v>170500</v>
      </c>
      <c r="E290" s="55" t="s">
        <v>27</v>
      </c>
      <c r="F290" s="36" t="s">
        <v>13</v>
      </c>
      <c r="G290" s="35">
        <v>1</v>
      </c>
      <c r="H290" s="64">
        <f t="shared" si="23"/>
        <v>6530150</v>
      </c>
    </row>
    <row r="291" spans="1:8" x14ac:dyDescent="0.2">
      <c r="A291" s="83">
        <v>1</v>
      </c>
      <c r="B291" s="83">
        <v>40.6</v>
      </c>
      <c r="C291" s="56">
        <v>6431040</v>
      </c>
      <c r="D291" s="56">
        <f t="shared" si="24"/>
        <v>158400</v>
      </c>
      <c r="E291" s="55" t="s">
        <v>27</v>
      </c>
      <c r="F291" s="36" t="s">
        <v>13</v>
      </c>
      <c r="G291" s="35">
        <v>1</v>
      </c>
      <c r="H291" s="64">
        <f t="shared" si="23"/>
        <v>6431040</v>
      </c>
    </row>
    <row r="292" spans="1:8" x14ac:dyDescent="0.2">
      <c r="A292" s="83">
        <v>2</v>
      </c>
      <c r="B292" s="83">
        <v>42.2</v>
      </c>
      <c r="C292" s="56">
        <v>6870160</v>
      </c>
      <c r="D292" s="56">
        <f t="shared" si="24"/>
        <v>162800</v>
      </c>
      <c r="E292" s="55" t="s">
        <v>27</v>
      </c>
      <c r="F292" s="36" t="s">
        <v>13</v>
      </c>
      <c r="G292" s="35">
        <v>1</v>
      </c>
      <c r="H292" s="64">
        <f t="shared" si="23"/>
        <v>6870160</v>
      </c>
    </row>
    <row r="293" spans="1:8" x14ac:dyDescent="0.2">
      <c r="A293" s="83">
        <v>2</v>
      </c>
      <c r="B293" s="83">
        <v>42.4</v>
      </c>
      <c r="C293" s="56">
        <v>6232800</v>
      </c>
      <c r="D293" s="56">
        <f t="shared" si="24"/>
        <v>147000</v>
      </c>
      <c r="E293" s="55" t="s">
        <v>15</v>
      </c>
      <c r="F293" s="36" t="s">
        <v>13</v>
      </c>
      <c r="G293" s="35">
        <v>1</v>
      </c>
      <c r="H293" s="64">
        <f t="shared" si="23"/>
        <v>6232800</v>
      </c>
    </row>
    <row r="294" spans="1:8" x14ac:dyDescent="0.2">
      <c r="A294" s="83">
        <v>2</v>
      </c>
      <c r="B294" s="83">
        <v>45</v>
      </c>
      <c r="C294" s="56">
        <v>7380000</v>
      </c>
      <c r="D294" s="56">
        <f t="shared" si="24"/>
        <v>164000</v>
      </c>
      <c r="E294" s="55" t="s">
        <v>27</v>
      </c>
      <c r="F294" s="36" t="s">
        <v>13</v>
      </c>
      <c r="G294" s="35">
        <v>1</v>
      </c>
      <c r="H294" s="64">
        <f t="shared" si="23"/>
        <v>7380000</v>
      </c>
    </row>
    <row r="295" spans="1:8" x14ac:dyDescent="0.2">
      <c r="A295" s="83">
        <v>2</v>
      </c>
      <c r="B295" s="83">
        <v>45</v>
      </c>
      <c r="C295" s="56">
        <v>7380000</v>
      </c>
      <c r="D295" s="56">
        <f t="shared" si="24"/>
        <v>164000</v>
      </c>
      <c r="E295" s="55" t="s">
        <v>27</v>
      </c>
      <c r="F295" s="36" t="s">
        <v>13</v>
      </c>
      <c r="G295" s="35">
        <v>1</v>
      </c>
      <c r="H295" s="64">
        <f t="shared" si="23"/>
        <v>7380000</v>
      </c>
    </row>
    <row r="296" spans="1:8" x14ac:dyDescent="0.2">
      <c r="A296" s="83">
        <v>2</v>
      </c>
      <c r="B296" s="83">
        <v>47.7</v>
      </c>
      <c r="C296" s="56">
        <v>7608150</v>
      </c>
      <c r="D296" s="56">
        <f t="shared" si="24"/>
        <v>159500</v>
      </c>
      <c r="E296" s="55" t="s">
        <v>27</v>
      </c>
      <c r="F296" s="36" t="s">
        <v>13</v>
      </c>
      <c r="G296" s="35">
        <v>1</v>
      </c>
      <c r="H296" s="64">
        <f t="shared" si="23"/>
        <v>7608150</v>
      </c>
    </row>
    <row r="297" spans="1:8" x14ac:dyDescent="0.2">
      <c r="A297" s="83">
        <v>2</v>
      </c>
      <c r="B297" s="83">
        <v>55.4</v>
      </c>
      <c r="C297" s="56">
        <v>8836300</v>
      </c>
      <c r="D297" s="56">
        <f t="shared" si="24"/>
        <v>159500</v>
      </c>
      <c r="E297" s="55" t="s">
        <v>27</v>
      </c>
      <c r="F297" s="36" t="s">
        <v>13</v>
      </c>
      <c r="G297" s="35">
        <v>1</v>
      </c>
      <c r="H297" s="64">
        <f t="shared" si="23"/>
        <v>8836300</v>
      </c>
    </row>
    <row r="298" spans="1:8" x14ac:dyDescent="0.2">
      <c r="A298" s="83">
        <v>2</v>
      </c>
      <c r="B298" s="83">
        <v>55.6</v>
      </c>
      <c r="C298" s="56">
        <v>8062000</v>
      </c>
      <c r="D298" s="56">
        <f t="shared" si="24"/>
        <v>145000</v>
      </c>
      <c r="E298" s="55" t="s">
        <v>17</v>
      </c>
      <c r="F298" s="36" t="s">
        <v>13</v>
      </c>
      <c r="G298" s="35">
        <v>1</v>
      </c>
      <c r="H298" s="64">
        <f t="shared" si="23"/>
        <v>8062000</v>
      </c>
    </row>
    <row r="299" spans="1:8" x14ac:dyDescent="0.2">
      <c r="A299" s="83">
        <v>2</v>
      </c>
      <c r="B299" s="83">
        <v>55.6</v>
      </c>
      <c r="C299" s="56">
        <v>8868200</v>
      </c>
      <c r="D299" s="56">
        <f t="shared" si="24"/>
        <v>159500</v>
      </c>
      <c r="E299" s="55" t="s">
        <v>27</v>
      </c>
      <c r="F299" s="36" t="s">
        <v>13</v>
      </c>
      <c r="G299" s="35">
        <v>1</v>
      </c>
      <c r="H299" s="64">
        <f t="shared" si="23"/>
        <v>8868200</v>
      </c>
    </row>
    <row r="300" spans="1:8" x14ac:dyDescent="0.2">
      <c r="A300" s="83">
        <v>2</v>
      </c>
      <c r="B300" s="83">
        <v>59.4</v>
      </c>
      <c r="C300" s="56">
        <v>7603200</v>
      </c>
      <c r="D300" s="56">
        <f t="shared" si="24"/>
        <v>128000</v>
      </c>
      <c r="E300" s="55" t="s">
        <v>15</v>
      </c>
      <c r="F300" s="36" t="s">
        <v>13</v>
      </c>
      <c r="G300" s="35">
        <v>1</v>
      </c>
      <c r="H300" s="64">
        <f t="shared" si="23"/>
        <v>7603200</v>
      </c>
    </row>
    <row r="301" spans="1:8" x14ac:dyDescent="0.2">
      <c r="A301" s="83">
        <v>2</v>
      </c>
      <c r="B301" s="83">
        <v>61.9</v>
      </c>
      <c r="C301" s="56">
        <v>7923200</v>
      </c>
      <c r="D301" s="56">
        <f t="shared" si="24"/>
        <v>128000</v>
      </c>
      <c r="E301" s="55" t="s">
        <v>15</v>
      </c>
      <c r="F301" s="36" t="s">
        <v>13</v>
      </c>
      <c r="G301" s="35">
        <v>1</v>
      </c>
      <c r="H301" s="64">
        <f t="shared" si="23"/>
        <v>7923200</v>
      </c>
    </row>
    <row r="302" spans="1:8" x14ac:dyDescent="0.2">
      <c r="A302" s="83">
        <v>3</v>
      </c>
      <c r="B302" s="83">
        <v>62</v>
      </c>
      <c r="C302" s="56">
        <v>7812000</v>
      </c>
      <c r="D302" s="56">
        <f t="shared" si="24"/>
        <v>126000</v>
      </c>
      <c r="E302" s="55" t="s">
        <v>15</v>
      </c>
      <c r="F302" s="36" t="s">
        <v>13</v>
      </c>
      <c r="G302" s="35">
        <v>1</v>
      </c>
      <c r="H302" s="64">
        <f t="shared" si="23"/>
        <v>7812000</v>
      </c>
    </row>
    <row r="303" spans="1:8" x14ac:dyDescent="0.2">
      <c r="A303" s="83">
        <v>3</v>
      </c>
      <c r="B303" s="83">
        <v>65.400000000000006</v>
      </c>
      <c r="C303" s="56">
        <v>8436600</v>
      </c>
      <c r="D303" s="56">
        <f t="shared" si="24"/>
        <v>128999.99999999999</v>
      </c>
      <c r="E303" s="55" t="s">
        <v>15</v>
      </c>
      <c r="F303" s="36" t="s">
        <v>13</v>
      </c>
      <c r="G303" s="35">
        <v>1</v>
      </c>
      <c r="H303" s="64">
        <f t="shared" si="23"/>
        <v>8436600</v>
      </c>
    </row>
    <row r="304" spans="1:8" x14ac:dyDescent="0.2">
      <c r="A304" s="83">
        <v>2</v>
      </c>
      <c r="B304" s="83">
        <v>66.3</v>
      </c>
      <c r="C304" s="56">
        <v>8619000</v>
      </c>
      <c r="D304" s="56">
        <f t="shared" si="24"/>
        <v>130000</v>
      </c>
      <c r="E304" s="55" t="s">
        <v>141</v>
      </c>
      <c r="F304" s="36" t="s">
        <v>13</v>
      </c>
      <c r="G304" s="35">
        <v>2</v>
      </c>
      <c r="H304" s="64">
        <f t="shared" si="23"/>
        <v>17238000</v>
      </c>
    </row>
    <row r="305" spans="1:8" x14ac:dyDescent="0.2">
      <c r="A305" s="83">
        <v>2</v>
      </c>
      <c r="B305" s="83">
        <v>66.3</v>
      </c>
      <c r="C305" s="56">
        <v>9480900</v>
      </c>
      <c r="D305" s="56">
        <f t="shared" si="24"/>
        <v>143000</v>
      </c>
      <c r="E305" s="55" t="s">
        <v>27</v>
      </c>
      <c r="F305" s="36" t="s">
        <v>13</v>
      </c>
      <c r="G305" s="35">
        <v>1</v>
      </c>
      <c r="H305" s="64">
        <f t="shared" si="23"/>
        <v>9480900</v>
      </c>
    </row>
    <row r="306" spans="1:8" x14ac:dyDescent="0.2">
      <c r="A306" s="83">
        <v>3</v>
      </c>
      <c r="B306" s="83">
        <v>66.400000000000006</v>
      </c>
      <c r="C306" s="56">
        <v>9276080</v>
      </c>
      <c r="D306" s="56">
        <f t="shared" si="24"/>
        <v>139700</v>
      </c>
      <c r="E306" s="55" t="s">
        <v>27</v>
      </c>
      <c r="F306" s="36" t="s">
        <v>13</v>
      </c>
      <c r="G306" s="35">
        <v>1</v>
      </c>
      <c r="H306" s="64">
        <f t="shared" si="23"/>
        <v>9276080</v>
      </c>
    </row>
    <row r="307" spans="1:8" x14ac:dyDescent="0.2">
      <c r="A307" s="83">
        <v>3</v>
      </c>
      <c r="B307" s="83">
        <v>66.400000000000006</v>
      </c>
      <c r="C307" s="56">
        <v>8565600</v>
      </c>
      <c r="D307" s="56">
        <f t="shared" si="24"/>
        <v>128999.99999999999</v>
      </c>
      <c r="E307" s="55" t="s">
        <v>15</v>
      </c>
      <c r="F307" s="36" t="s">
        <v>13</v>
      </c>
      <c r="G307" s="35">
        <v>1</v>
      </c>
      <c r="H307" s="64">
        <f t="shared" si="23"/>
        <v>8565600</v>
      </c>
    </row>
    <row r="308" spans="1:8" x14ac:dyDescent="0.2">
      <c r="A308" s="83">
        <v>3</v>
      </c>
      <c r="B308" s="83">
        <v>66.900000000000006</v>
      </c>
      <c r="C308" s="56">
        <v>8630100</v>
      </c>
      <c r="D308" s="56">
        <f t="shared" si="24"/>
        <v>128999.99999999999</v>
      </c>
      <c r="E308" s="55" t="s">
        <v>15</v>
      </c>
      <c r="F308" s="36" t="s">
        <v>13</v>
      </c>
      <c r="G308" s="35">
        <v>1</v>
      </c>
      <c r="H308" s="64">
        <f t="shared" si="23"/>
        <v>8630100</v>
      </c>
    </row>
    <row r="309" spans="1:8" x14ac:dyDescent="0.2">
      <c r="A309" s="83">
        <v>3</v>
      </c>
      <c r="B309" s="83">
        <v>67.5</v>
      </c>
      <c r="C309" s="56">
        <v>8842500</v>
      </c>
      <c r="D309" s="56">
        <f t="shared" si="24"/>
        <v>131000</v>
      </c>
      <c r="E309" s="55" t="s">
        <v>141</v>
      </c>
      <c r="F309" s="36" t="s">
        <v>13</v>
      </c>
      <c r="G309" s="35">
        <v>2</v>
      </c>
      <c r="H309" s="64">
        <f t="shared" si="23"/>
        <v>17685000</v>
      </c>
    </row>
    <row r="310" spans="1:8" x14ac:dyDescent="0.2">
      <c r="A310" s="83">
        <v>3</v>
      </c>
      <c r="B310" s="83">
        <v>67.5</v>
      </c>
      <c r="C310" s="56">
        <v>9726750</v>
      </c>
      <c r="D310" s="56">
        <f t="shared" si="24"/>
        <v>144100</v>
      </c>
      <c r="E310" s="55" t="s">
        <v>27</v>
      </c>
      <c r="F310" s="36" t="s">
        <v>13</v>
      </c>
      <c r="G310" s="35">
        <v>1</v>
      </c>
      <c r="H310" s="64">
        <f t="shared" si="23"/>
        <v>9726750</v>
      </c>
    </row>
    <row r="311" spans="1:8" x14ac:dyDescent="0.2">
      <c r="A311" s="83">
        <v>3</v>
      </c>
      <c r="B311" s="83">
        <v>68.3</v>
      </c>
      <c r="C311" s="56">
        <v>8264300</v>
      </c>
      <c r="D311" s="56">
        <f t="shared" si="24"/>
        <v>121000</v>
      </c>
      <c r="E311" s="55" t="s">
        <v>15</v>
      </c>
      <c r="F311" s="36" t="s">
        <v>13</v>
      </c>
      <c r="G311" s="35">
        <v>1</v>
      </c>
      <c r="H311" s="64">
        <f t="shared" si="23"/>
        <v>8264300</v>
      </c>
    </row>
    <row r="312" spans="1:8" x14ac:dyDescent="0.2">
      <c r="A312" s="83">
        <v>3</v>
      </c>
      <c r="B312" s="83">
        <v>69.2</v>
      </c>
      <c r="C312" s="56">
        <v>9134400</v>
      </c>
      <c r="D312" s="56">
        <f t="shared" si="24"/>
        <v>132000</v>
      </c>
      <c r="E312" s="55" t="s">
        <v>18</v>
      </c>
      <c r="F312" s="36" t="s">
        <v>13</v>
      </c>
      <c r="G312" s="35">
        <v>1</v>
      </c>
      <c r="H312" s="64">
        <f t="shared" si="23"/>
        <v>9134400</v>
      </c>
    </row>
    <row r="313" spans="1:8" x14ac:dyDescent="0.2">
      <c r="A313" s="83">
        <v>3</v>
      </c>
      <c r="B313" s="83">
        <v>69.8</v>
      </c>
      <c r="C313" s="56">
        <v>9143800</v>
      </c>
      <c r="D313" s="56">
        <f t="shared" si="24"/>
        <v>131000</v>
      </c>
      <c r="E313" s="55" t="s">
        <v>287</v>
      </c>
      <c r="F313" s="36" t="s">
        <v>13</v>
      </c>
      <c r="G313" s="35">
        <v>3</v>
      </c>
      <c r="H313" s="64">
        <f t="shared" si="23"/>
        <v>27431400</v>
      </c>
    </row>
    <row r="314" spans="1:8" x14ac:dyDescent="0.2">
      <c r="A314" s="83">
        <v>3</v>
      </c>
      <c r="B314" s="83">
        <v>69.8</v>
      </c>
      <c r="C314" s="56">
        <v>10058180</v>
      </c>
      <c r="D314" s="56">
        <f t="shared" si="24"/>
        <v>144100</v>
      </c>
      <c r="E314" s="55" t="s">
        <v>27</v>
      </c>
      <c r="F314" s="36" t="s">
        <v>13</v>
      </c>
      <c r="G314" s="35">
        <v>1</v>
      </c>
      <c r="H314" s="64">
        <f t="shared" si="23"/>
        <v>10058180</v>
      </c>
    </row>
    <row r="315" spans="1:8" x14ac:dyDescent="0.2">
      <c r="A315" s="83">
        <v>3</v>
      </c>
      <c r="B315" s="83">
        <v>70.400000000000006</v>
      </c>
      <c r="C315" s="56">
        <v>8800000</v>
      </c>
      <c r="D315" s="56">
        <f t="shared" si="24"/>
        <v>124999.99999999999</v>
      </c>
      <c r="E315" s="55" t="s">
        <v>103</v>
      </c>
      <c r="F315" s="36" t="s">
        <v>13</v>
      </c>
      <c r="G315" s="35">
        <v>2</v>
      </c>
      <c r="H315" s="64">
        <f t="shared" si="23"/>
        <v>17600000</v>
      </c>
    </row>
    <row r="316" spans="1:8" x14ac:dyDescent="0.2">
      <c r="A316" s="83">
        <v>3</v>
      </c>
      <c r="B316" s="83">
        <v>70.7</v>
      </c>
      <c r="C316" s="56">
        <v>9191000</v>
      </c>
      <c r="D316" s="56">
        <f t="shared" si="24"/>
        <v>130000</v>
      </c>
      <c r="E316" s="55" t="s">
        <v>49</v>
      </c>
      <c r="F316" s="36" t="s">
        <v>13</v>
      </c>
      <c r="G316" s="35">
        <v>2</v>
      </c>
      <c r="H316" s="64">
        <f t="shared" si="23"/>
        <v>18382000</v>
      </c>
    </row>
    <row r="317" spans="1:8" x14ac:dyDescent="0.2">
      <c r="A317" s="83">
        <v>3</v>
      </c>
      <c r="B317" s="83">
        <v>70.7</v>
      </c>
      <c r="C317" s="56">
        <v>10265640</v>
      </c>
      <c r="D317" s="56">
        <f t="shared" si="24"/>
        <v>145200</v>
      </c>
      <c r="E317" s="55" t="s">
        <v>27</v>
      </c>
      <c r="F317" s="36" t="s">
        <v>13</v>
      </c>
      <c r="G317" s="35">
        <v>1</v>
      </c>
      <c r="H317" s="64">
        <f t="shared" si="23"/>
        <v>10265640</v>
      </c>
    </row>
    <row r="318" spans="1:8" x14ac:dyDescent="0.2">
      <c r="A318" s="83">
        <v>3</v>
      </c>
      <c r="B318" s="83">
        <v>70.8</v>
      </c>
      <c r="C318" s="56">
        <v>9133200</v>
      </c>
      <c r="D318" s="56">
        <f t="shared" si="24"/>
        <v>129000</v>
      </c>
      <c r="E318" s="55" t="s">
        <v>288</v>
      </c>
      <c r="F318" s="36" t="s">
        <v>13</v>
      </c>
      <c r="G318" s="35">
        <v>4</v>
      </c>
      <c r="H318" s="64">
        <f t="shared" si="23"/>
        <v>36532800</v>
      </c>
    </row>
    <row r="319" spans="1:8" x14ac:dyDescent="0.2">
      <c r="A319" s="83">
        <v>3</v>
      </c>
      <c r="B319" s="83">
        <v>70.8</v>
      </c>
      <c r="C319" s="56">
        <v>10202280</v>
      </c>
      <c r="D319" s="56">
        <f t="shared" si="24"/>
        <v>144100</v>
      </c>
      <c r="E319" s="55" t="s">
        <v>27</v>
      </c>
      <c r="F319" s="36" t="s">
        <v>13</v>
      </c>
      <c r="G319" s="35">
        <v>1</v>
      </c>
      <c r="H319" s="64">
        <f t="shared" si="23"/>
        <v>10202280</v>
      </c>
    </row>
    <row r="320" spans="1:8" x14ac:dyDescent="0.2">
      <c r="A320" s="83">
        <v>3</v>
      </c>
      <c r="B320" s="83">
        <v>71.099999999999994</v>
      </c>
      <c r="C320" s="56">
        <v>9314100</v>
      </c>
      <c r="D320" s="56">
        <f t="shared" si="24"/>
        <v>131000.00000000001</v>
      </c>
      <c r="E320" s="55" t="s">
        <v>103</v>
      </c>
      <c r="F320" s="36" t="s">
        <v>13</v>
      </c>
      <c r="G320" s="35">
        <v>2</v>
      </c>
      <c r="H320" s="64">
        <f t="shared" si="23"/>
        <v>18628200</v>
      </c>
    </row>
    <row r="321" spans="1:8" x14ac:dyDescent="0.2">
      <c r="A321" s="83">
        <v>3</v>
      </c>
      <c r="B321" s="83">
        <v>71.099999999999994</v>
      </c>
      <c r="C321" s="56">
        <v>10245510</v>
      </c>
      <c r="D321" s="56">
        <f t="shared" si="24"/>
        <v>144100</v>
      </c>
      <c r="E321" s="55" t="s">
        <v>27</v>
      </c>
      <c r="F321" s="36" t="s">
        <v>13</v>
      </c>
      <c r="G321" s="35">
        <v>1</v>
      </c>
      <c r="H321" s="64">
        <f t="shared" si="23"/>
        <v>10245510</v>
      </c>
    </row>
    <row r="322" spans="1:8" x14ac:dyDescent="0.2">
      <c r="A322" s="83">
        <v>3</v>
      </c>
      <c r="B322" s="83">
        <v>79.7</v>
      </c>
      <c r="C322" s="56">
        <v>11317400</v>
      </c>
      <c r="D322" s="56">
        <f t="shared" si="24"/>
        <v>142000</v>
      </c>
      <c r="E322" s="55" t="s">
        <v>27</v>
      </c>
      <c r="F322" s="36" t="s">
        <v>13</v>
      </c>
      <c r="G322" s="35">
        <v>1</v>
      </c>
      <c r="H322" s="64">
        <f t="shared" si="23"/>
        <v>11317400</v>
      </c>
    </row>
    <row r="323" spans="1:8" x14ac:dyDescent="0.2">
      <c r="A323" s="83">
        <v>3</v>
      </c>
      <c r="B323" s="83">
        <v>109.8</v>
      </c>
      <c r="C323" s="56">
        <v>14493600</v>
      </c>
      <c r="D323" s="56">
        <f t="shared" si="24"/>
        <v>132000</v>
      </c>
      <c r="E323" s="55" t="s">
        <v>27</v>
      </c>
      <c r="F323" s="36" t="s">
        <v>13</v>
      </c>
      <c r="G323" s="35">
        <v>1</v>
      </c>
      <c r="H323" s="64">
        <f t="shared" si="23"/>
        <v>14493600</v>
      </c>
    </row>
    <row r="324" spans="1:8" x14ac:dyDescent="0.2">
      <c r="A324" s="83">
        <v>3</v>
      </c>
      <c r="B324" s="83">
        <v>84</v>
      </c>
      <c r="C324" s="56">
        <v>9912000</v>
      </c>
      <c r="D324" s="56">
        <f t="shared" si="24"/>
        <v>118000</v>
      </c>
      <c r="E324" s="55" t="s">
        <v>288</v>
      </c>
      <c r="F324" s="36" t="s">
        <v>13</v>
      </c>
      <c r="G324" s="35">
        <v>4</v>
      </c>
      <c r="H324" s="64">
        <f t="shared" ref="H324" si="25">G324*C324</f>
        <v>39648000</v>
      </c>
    </row>
    <row r="325" spans="1:8" x14ac:dyDescent="0.2">
      <c r="A325" s="282" t="s">
        <v>102</v>
      </c>
      <c r="B325" s="283"/>
      <c r="C325" s="283"/>
      <c r="D325" s="283"/>
      <c r="E325" s="283"/>
      <c r="F325" s="283"/>
      <c r="G325" s="46"/>
      <c r="H325" s="165"/>
    </row>
    <row r="326" spans="1:8" x14ac:dyDescent="0.2">
      <c r="A326" s="69" t="s">
        <v>6</v>
      </c>
      <c r="B326" s="70" t="s">
        <v>7</v>
      </c>
      <c r="C326" s="202" t="s">
        <v>8</v>
      </c>
      <c r="D326" s="202" t="s">
        <v>11</v>
      </c>
      <c r="E326" s="71" t="s">
        <v>10</v>
      </c>
      <c r="F326" s="70" t="s">
        <v>9</v>
      </c>
      <c r="G326" s="46"/>
      <c r="H326" s="165"/>
    </row>
    <row r="327" spans="1:8" x14ac:dyDescent="0.2">
      <c r="A327" s="83">
        <v>1</v>
      </c>
      <c r="B327" s="83">
        <v>37.700000000000003</v>
      </c>
      <c r="C327" s="56">
        <v>6096090</v>
      </c>
      <c r="D327" s="56">
        <f t="shared" ref="D327:D371" si="26">C327/B327</f>
        <v>161700</v>
      </c>
      <c r="E327" s="55" t="s">
        <v>27</v>
      </c>
      <c r="F327" s="36" t="s">
        <v>13</v>
      </c>
      <c r="G327" s="35">
        <v>1</v>
      </c>
      <c r="H327" s="64">
        <f t="shared" ref="H327:H371" si="27">G327*C327</f>
        <v>6096090</v>
      </c>
    </row>
    <row r="328" spans="1:8" x14ac:dyDescent="0.2">
      <c r="A328" s="83">
        <v>1</v>
      </c>
      <c r="B328" s="83">
        <v>38.299999999999997</v>
      </c>
      <c r="C328" s="56">
        <v>6193110</v>
      </c>
      <c r="D328" s="56">
        <f t="shared" si="26"/>
        <v>161700</v>
      </c>
      <c r="E328" s="55" t="s">
        <v>27</v>
      </c>
      <c r="F328" s="36" t="s">
        <v>13</v>
      </c>
      <c r="G328" s="35">
        <v>1</v>
      </c>
      <c r="H328" s="64">
        <f t="shared" si="27"/>
        <v>6193110</v>
      </c>
    </row>
    <row r="329" spans="1:8" x14ac:dyDescent="0.2">
      <c r="A329" s="83">
        <v>1</v>
      </c>
      <c r="B329" s="83">
        <v>40.5</v>
      </c>
      <c r="C329" s="56">
        <v>6415200</v>
      </c>
      <c r="D329" s="56">
        <f t="shared" si="26"/>
        <v>158400</v>
      </c>
      <c r="E329" s="55" t="s">
        <v>27</v>
      </c>
      <c r="F329" s="36" t="s">
        <v>13</v>
      </c>
      <c r="G329" s="35">
        <v>1</v>
      </c>
      <c r="H329" s="64">
        <f t="shared" si="27"/>
        <v>6415200</v>
      </c>
    </row>
    <row r="330" spans="1:8" x14ac:dyDescent="0.2">
      <c r="A330" s="83">
        <v>2</v>
      </c>
      <c r="B330" s="83">
        <v>40.9</v>
      </c>
      <c r="C330" s="56">
        <v>6613530</v>
      </c>
      <c r="D330" s="56">
        <f t="shared" si="26"/>
        <v>161700</v>
      </c>
      <c r="E330" s="55" t="s">
        <v>27</v>
      </c>
      <c r="F330" s="36" t="s">
        <v>13</v>
      </c>
      <c r="G330" s="35">
        <v>1</v>
      </c>
      <c r="H330" s="64">
        <f t="shared" si="27"/>
        <v>6613530</v>
      </c>
    </row>
    <row r="331" spans="1:8" x14ac:dyDescent="0.2">
      <c r="A331" s="83">
        <v>2</v>
      </c>
      <c r="B331" s="83">
        <v>43.2</v>
      </c>
      <c r="C331" s="56">
        <v>6134400</v>
      </c>
      <c r="D331" s="56">
        <f t="shared" si="26"/>
        <v>142000</v>
      </c>
      <c r="E331" s="55" t="s">
        <v>15</v>
      </c>
      <c r="F331" s="36" t="s">
        <v>13</v>
      </c>
      <c r="G331" s="35">
        <v>1</v>
      </c>
      <c r="H331" s="64">
        <f t="shared" si="27"/>
        <v>6134400</v>
      </c>
    </row>
    <row r="332" spans="1:8" x14ac:dyDescent="0.2">
      <c r="A332" s="83">
        <v>2</v>
      </c>
      <c r="B332" s="83">
        <v>45</v>
      </c>
      <c r="C332" s="56">
        <v>7177500</v>
      </c>
      <c r="D332" s="56">
        <f t="shared" si="26"/>
        <v>159500</v>
      </c>
      <c r="E332" s="55" t="s">
        <v>27</v>
      </c>
      <c r="F332" s="36" t="s">
        <v>13</v>
      </c>
      <c r="G332" s="35">
        <v>1</v>
      </c>
      <c r="H332" s="64">
        <f t="shared" si="27"/>
        <v>7177500</v>
      </c>
    </row>
    <row r="333" spans="1:8" x14ac:dyDescent="0.2">
      <c r="A333" s="83">
        <v>2</v>
      </c>
      <c r="B333" s="83">
        <v>45.7</v>
      </c>
      <c r="C333" s="56">
        <v>6626500</v>
      </c>
      <c r="D333" s="56">
        <f t="shared" si="26"/>
        <v>145000</v>
      </c>
      <c r="E333" s="55" t="s">
        <v>17</v>
      </c>
      <c r="F333" s="36" t="s">
        <v>13</v>
      </c>
      <c r="G333" s="35">
        <v>1</v>
      </c>
      <c r="H333" s="64">
        <f t="shared" si="27"/>
        <v>6626500</v>
      </c>
    </row>
    <row r="334" spans="1:8" x14ac:dyDescent="0.2">
      <c r="A334" s="83">
        <v>2</v>
      </c>
      <c r="B334" s="83">
        <v>45.7</v>
      </c>
      <c r="C334" s="56">
        <v>7289150</v>
      </c>
      <c r="D334" s="56">
        <f t="shared" si="26"/>
        <v>159500</v>
      </c>
      <c r="E334" s="55" t="s">
        <v>27</v>
      </c>
      <c r="F334" s="36" t="s">
        <v>13</v>
      </c>
      <c r="G334" s="35">
        <v>1</v>
      </c>
      <c r="H334" s="64">
        <f t="shared" si="27"/>
        <v>7289150</v>
      </c>
    </row>
    <row r="335" spans="1:8" x14ac:dyDescent="0.2">
      <c r="A335" s="83">
        <v>2</v>
      </c>
      <c r="B335" s="83">
        <v>47.1</v>
      </c>
      <c r="C335" s="56">
        <v>7667880</v>
      </c>
      <c r="D335" s="56">
        <f t="shared" si="26"/>
        <v>162800</v>
      </c>
      <c r="E335" s="55" t="s">
        <v>27</v>
      </c>
      <c r="F335" s="36" t="s">
        <v>13</v>
      </c>
      <c r="G335" s="35">
        <v>1</v>
      </c>
      <c r="H335" s="64">
        <f t="shared" si="27"/>
        <v>7667880</v>
      </c>
    </row>
    <row r="336" spans="1:8" x14ac:dyDescent="0.2">
      <c r="A336" s="83">
        <v>2</v>
      </c>
      <c r="B336" s="83">
        <v>47.7</v>
      </c>
      <c r="C336" s="56">
        <v>7765560</v>
      </c>
      <c r="D336" s="56">
        <f t="shared" si="26"/>
        <v>162800</v>
      </c>
      <c r="E336" s="55" t="s">
        <v>27</v>
      </c>
      <c r="F336" s="36" t="s">
        <v>13</v>
      </c>
      <c r="G336" s="35">
        <v>1</v>
      </c>
      <c r="H336" s="64">
        <f t="shared" si="27"/>
        <v>7765560</v>
      </c>
    </row>
    <row r="337" spans="1:8" x14ac:dyDescent="0.2">
      <c r="A337" s="83">
        <v>2</v>
      </c>
      <c r="B337" s="83">
        <v>51.4</v>
      </c>
      <c r="C337" s="56">
        <v>7298800</v>
      </c>
      <c r="D337" s="56">
        <f t="shared" si="26"/>
        <v>142000</v>
      </c>
      <c r="E337" s="55" t="s">
        <v>15</v>
      </c>
      <c r="F337" s="36" t="s">
        <v>13</v>
      </c>
      <c r="G337" s="35">
        <v>1</v>
      </c>
      <c r="H337" s="64">
        <f t="shared" si="27"/>
        <v>7298800</v>
      </c>
    </row>
    <row r="338" spans="1:8" x14ac:dyDescent="0.2">
      <c r="A338" s="83">
        <v>2</v>
      </c>
      <c r="B338" s="83">
        <v>51.9</v>
      </c>
      <c r="C338" s="56">
        <v>7110300</v>
      </c>
      <c r="D338" s="56">
        <f t="shared" si="26"/>
        <v>137000</v>
      </c>
      <c r="E338" s="55" t="s">
        <v>18</v>
      </c>
      <c r="F338" s="36" t="s">
        <v>13</v>
      </c>
      <c r="G338" s="35">
        <v>1</v>
      </c>
      <c r="H338" s="64">
        <f t="shared" si="27"/>
        <v>7110300</v>
      </c>
    </row>
    <row r="339" spans="1:8" x14ac:dyDescent="0.2">
      <c r="A339" s="83">
        <v>2</v>
      </c>
      <c r="B339" s="83">
        <v>51.9</v>
      </c>
      <c r="C339" s="56">
        <v>7821330</v>
      </c>
      <c r="D339" s="56">
        <f t="shared" si="26"/>
        <v>150700</v>
      </c>
      <c r="E339" s="55" t="s">
        <v>27</v>
      </c>
      <c r="F339" s="36" t="s">
        <v>13</v>
      </c>
      <c r="G339" s="35">
        <v>1</v>
      </c>
      <c r="H339" s="64">
        <f t="shared" si="27"/>
        <v>7821330</v>
      </c>
    </row>
    <row r="340" spans="1:8" x14ac:dyDescent="0.2">
      <c r="A340" s="83">
        <v>2</v>
      </c>
      <c r="B340" s="83">
        <v>55.6</v>
      </c>
      <c r="C340" s="56">
        <v>8745880</v>
      </c>
      <c r="D340" s="56">
        <f t="shared" si="26"/>
        <v>157300</v>
      </c>
      <c r="E340" s="55" t="s">
        <v>27</v>
      </c>
      <c r="F340" s="36" t="s">
        <v>13</v>
      </c>
      <c r="G340" s="35">
        <v>1</v>
      </c>
      <c r="H340" s="64">
        <f t="shared" si="27"/>
        <v>8745880</v>
      </c>
    </row>
    <row r="341" spans="1:8" x14ac:dyDescent="0.2">
      <c r="A341" s="83">
        <v>2</v>
      </c>
      <c r="B341" s="83">
        <v>56.6</v>
      </c>
      <c r="C341" s="56">
        <v>8218320</v>
      </c>
      <c r="D341" s="56">
        <f t="shared" si="26"/>
        <v>145200</v>
      </c>
      <c r="E341" s="55" t="s">
        <v>27</v>
      </c>
      <c r="F341" s="36" t="s">
        <v>13</v>
      </c>
      <c r="G341" s="35">
        <v>1</v>
      </c>
      <c r="H341" s="64">
        <f t="shared" si="27"/>
        <v>8218320</v>
      </c>
    </row>
    <row r="342" spans="1:8" x14ac:dyDescent="0.2">
      <c r="A342" s="83">
        <v>2</v>
      </c>
      <c r="B342" s="83">
        <v>57.7</v>
      </c>
      <c r="C342" s="56">
        <v>7558700</v>
      </c>
      <c r="D342" s="56">
        <f t="shared" si="26"/>
        <v>131000</v>
      </c>
      <c r="E342" s="55" t="s">
        <v>49</v>
      </c>
      <c r="F342" s="36" t="s">
        <v>13</v>
      </c>
      <c r="G342" s="35">
        <v>2</v>
      </c>
      <c r="H342" s="64">
        <f t="shared" si="27"/>
        <v>15117400</v>
      </c>
    </row>
    <row r="343" spans="1:8" x14ac:dyDescent="0.2">
      <c r="A343" s="83">
        <v>2</v>
      </c>
      <c r="B343" s="83">
        <v>57.7</v>
      </c>
      <c r="C343" s="56">
        <v>8378040</v>
      </c>
      <c r="D343" s="56">
        <f t="shared" si="26"/>
        <v>145200</v>
      </c>
      <c r="E343" s="55" t="s">
        <v>27</v>
      </c>
      <c r="F343" s="36" t="s">
        <v>13</v>
      </c>
      <c r="G343" s="35">
        <v>1</v>
      </c>
      <c r="H343" s="64">
        <f t="shared" si="27"/>
        <v>8378040</v>
      </c>
    </row>
    <row r="344" spans="1:8" x14ac:dyDescent="0.2">
      <c r="A344" s="83">
        <v>2</v>
      </c>
      <c r="B344" s="83">
        <v>61.5</v>
      </c>
      <c r="C344" s="56">
        <v>8118000</v>
      </c>
      <c r="D344" s="56">
        <f t="shared" si="26"/>
        <v>132000</v>
      </c>
      <c r="E344" s="55" t="s">
        <v>14</v>
      </c>
      <c r="F344" s="36" t="s">
        <v>13</v>
      </c>
      <c r="G344" s="35">
        <v>1</v>
      </c>
      <c r="H344" s="64">
        <f t="shared" si="27"/>
        <v>8118000</v>
      </c>
    </row>
    <row r="345" spans="1:8" x14ac:dyDescent="0.2">
      <c r="A345" s="83">
        <v>2</v>
      </c>
      <c r="B345" s="83">
        <v>61.5</v>
      </c>
      <c r="C345" s="56">
        <v>8997450</v>
      </c>
      <c r="D345" s="56">
        <f t="shared" si="26"/>
        <v>146300</v>
      </c>
      <c r="E345" s="55" t="s">
        <v>27</v>
      </c>
      <c r="F345" s="36" t="s">
        <v>13</v>
      </c>
      <c r="G345" s="35">
        <v>1</v>
      </c>
      <c r="H345" s="64">
        <f t="shared" si="27"/>
        <v>8997450</v>
      </c>
    </row>
    <row r="346" spans="1:8" x14ac:dyDescent="0.2">
      <c r="A346" s="83">
        <v>3</v>
      </c>
      <c r="B346" s="83">
        <v>62</v>
      </c>
      <c r="C346" s="56">
        <v>7812000</v>
      </c>
      <c r="D346" s="56">
        <f t="shared" si="26"/>
        <v>126000</v>
      </c>
      <c r="E346" s="55" t="s">
        <v>15</v>
      </c>
      <c r="F346" s="36" t="s">
        <v>13</v>
      </c>
      <c r="G346" s="35">
        <v>1</v>
      </c>
      <c r="H346" s="64">
        <f t="shared" si="27"/>
        <v>7812000</v>
      </c>
    </row>
    <row r="347" spans="1:8" x14ac:dyDescent="0.2">
      <c r="A347" s="83">
        <v>3</v>
      </c>
      <c r="B347" s="83">
        <v>62.5</v>
      </c>
      <c r="C347" s="56">
        <v>7875000</v>
      </c>
      <c r="D347" s="56">
        <f t="shared" si="26"/>
        <v>126000</v>
      </c>
      <c r="E347" s="55" t="s">
        <v>15</v>
      </c>
      <c r="F347" s="36" t="s">
        <v>13</v>
      </c>
      <c r="G347" s="35">
        <v>1</v>
      </c>
      <c r="H347" s="64">
        <f t="shared" si="27"/>
        <v>7875000</v>
      </c>
    </row>
    <row r="348" spans="1:8" x14ac:dyDescent="0.2">
      <c r="A348" s="83">
        <v>3</v>
      </c>
      <c r="B348" s="83">
        <v>63.2</v>
      </c>
      <c r="C348" s="56">
        <v>8026400</v>
      </c>
      <c r="D348" s="56">
        <f t="shared" si="26"/>
        <v>127000</v>
      </c>
      <c r="E348" s="55" t="s">
        <v>18</v>
      </c>
      <c r="F348" s="36" t="s">
        <v>13</v>
      </c>
      <c r="G348" s="35">
        <v>1</v>
      </c>
      <c r="H348" s="64">
        <f t="shared" si="27"/>
        <v>8026400</v>
      </c>
    </row>
    <row r="349" spans="1:8" x14ac:dyDescent="0.2">
      <c r="A349" s="83">
        <v>3</v>
      </c>
      <c r="B349" s="83">
        <v>63.2</v>
      </c>
      <c r="C349" s="56">
        <v>8829040</v>
      </c>
      <c r="D349" s="56">
        <f t="shared" si="26"/>
        <v>139700</v>
      </c>
      <c r="E349" s="55" t="s">
        <v>27</v>
      </c>
      <c r="F349" s="36" t="s">
        <v>13</v>
      </c>
      <c r="G349" s="35">
        <v>1</v>
      </c>
      <c r="H349" s="64">
        <f t="shared" si="27"/>
        <v>8829040</v>
      </c>
    </row>
    <row r="350" spans="1:8" x14ac:dyDescent="0.2">
      <c r="A350" s="83">
        <v>3</v>
      </c>
      <c r="B350" s="83">
        <v>65.400000000000006</v>
      </c>
      <c r="C350" s="56">
        <v>8175000</v>
      </c>
      <c r="D350" s="56">
        <f t="shared" si="26"/>
        <v>124999.99999999999</v>
      </c>
      <c r="E350" s="55" t="s">
        <v>15</v>
      </c>
      <c r="F350" s="36" t="s">
        <v>13</v>
      </c>
      <c r="G350" s="35">
        <v>1</v>
      </c>
      <c r="H350" s="64">
        <f t="shared" si="27"/>
        <v>8175000</v>
      </c>
    </row>
    <row r="351" spans="1:8" x14ac:dyDescent="0.2">
      <c r="A351" s="83">
        <v>3</v>
      </c>
      <c r="B351" s="83">
        <v>66.400000000000006</v>
      </c>
      <c r="C351" s="56">
        <v>8366400</v>
      </c>
      <c r="D351" s="56">
        <f t="shared" si="26"/>
        <v>125999.99999999999</v>
      </c>
      <c r="E351" s="55" t="s">
        <v>92</v>
      </c>
      <c r="F351" s="36" t="s">
        <v>13</v>
      </c>
      <c r="G351" s="35">
        <v>3</v>
      </c>
      <c r="H351" s="64">
        <f t="shared" si="27"/>
        <v>25099200</v>
      </c>
    </row>
    <row r="352" spans="1:8" x14ac:dyDescent="0.2">
      <c r="A352" s="83">
        <v>3</v>
      </c>
      <c r="B352" s="83">
        <v>66.400000000000006</v>
      </c>
      <c r="C352" s="56">
        <v>9276080</v>
      </c>
      <c r="D352" s="56">
        <f t="shared" si="26"/>
        <v>139700</v>
      </c>
      <c r="E352" s="55" t="s">
        <v>27</v>
      </c>
      <c r="F352" s="36" t="s">
        <v>13</v>
      </c>
      <c r="G352" s="35">
        <v>1</v>
      </c>
      <c r="H352" s="64">
        <f t="shared" si="27"/>
        <v>9276080</v>
      </c>
    </row>
    <row r="353" spans="1:8" x14ac:dyDescent="0.2">
      <c r="A353" s="83">
        <v>3</v>
      </c>
      <c r="B353" s="83">
        <v>66.900000000000006</v>
      </c>
      <c r="C353" s="56">
        <v>8362500</v>
      </c>
      <c r="D353" s="56">
        <f t="shared" si="26"/>
        <v>124999.99999999999</v>
      </c>
      <c r="E353" s="55" t="s">
        <v>15</v>
      </c>
      <c r="F353" s="36" t="s">
        <v>13</v>
      </c>
      <c r="G353" s="35">
        <v>1</v>
      </c>
      <c r="H353" s="64">
        <f t="shared" si="27"/>
        <v>8362500</v>
      </c>
    </row>
    <row r="354" spans="1:8" x14ac:dyDescent="0.2">
      <c r="A354" s="83">
        <v>3</v>
      </c>
      <c r="B354" s="83">
        <v>67.099999999999994</v>
      </c>
      <c r="C354" s="56">
        <v>8387500</v>
      </c>
      <c r="D354" s="56">
        <f t="shared" si="26"/>
        <v>125000.00000000001</v>
      </c>
      <c r="E354" s="55" t="s">
        <v>15</v>
      </c>
      <c r="F354" s="36" t="s">
        <v>13</v>
      </c>
      <c r="G354" s="35">
        <v>1</v>
      </c>
      <c r="H354" s="64">
        <f t="shared" si="27"/>
        <v>8387500</v>
      </c>
    </row>
    <row r="355" spans="1:8" x14ac:dyDescent="0.2">
      <c r="A355" s="83">
        <v>3</v>
      </c>
      <c r="B355" s="83">
        <v>69.2</v>
      </c>
      <c r="C355" s="56">
        <v>8650000</v>
      </c>
      <c r="D355" s="56">
        <f t="shared" si="26"/>
        <v>125000</v>
      </c>
      <c r="E355" s="55" t="s">
        <v>49</v>
      </c>
      <c r="F355" s="36" t="s">
        <v>13</v>
      </c>
      <c r="G355" s="35">
        <v>2</v>
      </c>
      <c r="H355" s="64">
        <f t="shared" si="27"/>
        <v>17300000</v>
      </c>
    </row>
    <row r="356" spans="1:8" x14ac:dyDescent="0.2">
      <c r="A356" s="83">
        <v>3</v>
      </c>
      <c r="B356" s="83">
        <v>69.2</v>
      </c>
      <c r="C356" s="56">
        <v>9591120</v>
      </c>
      <c r="D356" s="56">
        <f t="shared" si="26"/>
        <v>138600</v>
      </c>
      <c r="E356" s="55" t="s">
        <v>27</v>
      </c>
      <c r="F356" s="36" t="s">
        <v>13</v>
      </c>
      <c r="G356" s="35">
        <v>1</v>
      </c>
      <c r="H356" s="64">
        <f t="shared" si="27"/>
        <v>9591120</v>
      </c>
    </row>
    <row r="357" spans="1:8" x14ac:dyDescent="0.2">
      <c r="A357" s="83">
        <v>3</v>
      </c>
      <c r="B357" s="83">
        <v>69.3</v>
      </c>
      <c r="C357" s="56">
        <v>8662500</v>
      </c>
      <c r="D357" s="56">
        <f t="shared" si="26"/>
        <v>125000</v>
      </c>
      <c r="E357" s="55" t="s">
        <v>15</v>
      </c>
      <c r="F357" s="36" t="s">
        <v>13</v>
      </c>
      <c r="G357" s="35">
        <v>1</v>
      </c>
      <c r="H357" s="64">
        <f t="shared" si="27"/>
        <v>8662500</v>
      </c>
    </row>
    <row r="358" spans="1:8" x14ac:dyDescent="0.2">
      <c r="A358" s="83">
        <v>3</v>
      </c>
      <c r="B358" s="83">
        <v>69.8</v>
      </c>
      <c r="C358" s="56">
        <v>8725000</v>
      </c>
      <c r="D358" s="56">
        <f t="shared" si="26"/>
        <v>125000</v>
      </c>
      <c r="E358" s="55" t="s">
        <v>75</v>
      </c>
      <c r="F358" s="36" t="s">
        <v>13</v>
      </c>
      <c r="G358" s="35">
        <v>2</v>
      </c>
      <c r="H358" s="64">
        <f t="shared" si="27"/>
        <v>17450000</v>
      </c>
    </row>
    <row r="359" spans="1:8" x14ac:dyDescent="0.2">
      <c r="A359" s="83">
        <v>3</v>
      </c>
      <c r="B359" s="83">
        <v>69.8</v>
      </c>
      <c r="C359" s="56">
        <v>9674280</v>
      </c>
      <c r="D359" s="56">
        <f t="shared" si="26"/>
        <v>138600</v>
      </c>
      <c r="E359" s="55" t="s">
        <v>27</v>
      </c>
      <c r="F359" s="36" t="s">
        <v>13</v>
      </c>
      <c r="G359" s="35">
        <v>1</v>
      </c>
      <c r="H359" s="64">
        <f t="shared" si="27"/>
        <v>9674280</v>
      </c>
    </row>
    <row r="360" spans="1:8" x14ac:dyDescent="0.2">
      <c r="A360" s="83">
        <v>3</v>
      </c>
      <c r="B360" s="83">
        <v>70.400000000000006</v>
      </c>
      <c r="C360" s="56">
        <v>8307200</v>
      </c>
      <c r="D360" s="56">
        <f t="shared" si="26"/>
        <v>117999.99999999999</v>
      </c>
      <c r="E360" s="55" t="s">
        <v>92</v>
      </c>
      <c r="F360" s="36" t="s">
        <v>13</v>
      </c>
      <c r="G360" s="35">
        <v>3</v>
      </c>
      <c r="H360" s="64">
        <f t="shared" si="27"/>
        <v>24921600</v>
      </c>
    </row>
    <row r="361" spans="1:8" x14ac:dyDescent="0.2">
      <c r="A361" s="83">
        <v>3</v>
      </c>
      <c r="B361" s="83">
        <v>70.400000000000006</v>
      </c>
      <c r="C361" s="56">
        <v>8307200</v>
      </c>
      <c r="D361" s="56">
        <f t="shared" si="26"/>
        <v>117999.99999999999</v>
      </c>
      <c r="E361" s="55" t="s">
        <v>49</v>
      </c>
      <c r="F361" s="36" t="s">
        <v>13</v>
      </c>
      <c r="G361" s="35">
        <v>2</v>
      </c>
      <c r="H361" s="64">
        <f t="shared" si="27"/>
        <v>16614400</v>
      </c>
    </row>
    <row r="362" spans="1:8" x14ac:dyDescent="0.2">
      <c r="A362" s="83">
        <v>3</v>
      </c>
      <c r="B362" s="83">
        <v>70.400000000000006</v>
      </c>
      <c r="C362" s="56">
        <v>9292800</v>
      </c>
      <c r="D362" s="56">
        <f t="shared" si="26"/>
        <v>132000</v>
      </c>
      <c r="E362" s="55" t="s">
        <v>27</v>
      </c>
      <c r="F362" s="36" t="s">
        <v>13</v>
      </c>
      <c r="G362" s="35">
        <v>1</v>
      </c>
      <c r="H362" s="64">
        <f t="shared" si="27"/>
        <v>9292800</v>
      </c>
    </row>
    <row r="363" spans="1:8" x14ac:dyDescent="0.2">
      <c r="A363" s="83">
        <v>3</v>
      </c>
      <c r="B363" s="83">
        <v>70.400000000000006</v>
      </c>
      <c r="C363" s="56">
        <v>9292800</v>
      </c>
      <c r="D363" s="56">
        <f t="shared" si="26"/>
        <v>132000</v>
      </c>
      <c r="E363" s="55" t="s">
        <v>27</v>
      </c>
      <c r="F363" s="36" t="s">
        <v>13</v>
      </c>
      <c r="G363" s="35">
        <v>1</v>
      </c>
      <c r="H363" s="64">
        <f t="shared" si="27"/>
        <v>9292800</v>
      </c>
    </row>
    <row r="364" spans="1:8" x14ac:dyDescent="0.2">
      <c r="A364" s="83">
        <v>3</v>
      </c>
      <c r="B364" s="83">
        <v>71.099999999999994</v>
      </c>
      <c r="C364" s="56">
        <v>8958600</v>
      </c>
      <c r="D364" s="56">
        <f t="shared" si="26"/>
        <v>126000.00000000001</v>
      </c>
      <c r="E364" s="55" t="s">
        <v>103</v>
      </c>
      <c r="F364" s="36" t="s">
        <v>13</v>
      </c>
      <c r="G364" s="35">
        <v>2</v>
      </c>
      <c r="H364" s="64">
        <f t="shared" si="27"/>
        <v>17917200</v>
      </c>
    </row>
    <row r="365" spans="1:8" x14ac:dyDescent="0.2">
      <c r="A365" s="83">
        <v>3</v>
      </c>
      <c r="B365" s="83">
        <v>71.099999999999994</v>
      </c>
      <c r="C365" s="56">
        <v>9854460</v>
      </c>
      <c r="D365" s="56">
        <f t="shared" si="26"/>
        <v>138600</v>
      </c>
      <c r="E365" s="55" t="s">
        <v>27</v>
      </c>
      <c r="F365" s="36" t="s">
        <v>13</v>
      </c>
      <c r="G365" s="35">
        <v>1</v>
      </c>
      <c r="H365" s="64">
        <f t="shared" si="27"/>
        <v>9854460</v>
      </c>
    </row>
    <row r="366" spans="1:8" x14ac:dyDescent="0.2">
      <c r="A366" s="83">
        <v>3</v>
      </c>
      <c r="B366" s="83">
        <v>72.2</v>
      </c>
      <c r="C366" s="56">
        <v>8447400</v>
      </c>
      <c r="D366" s="56">
        <f t="shared" si="26"/>
        <v>117000</v>
      </c>
      <c r="E366" s="55" t="s">
        <v>92</v>
      </c>
      <c r="F366" s="36" t="s">
        <v>13</v>
      </c>
      <c r="G366" s="35">
        <v>3</v>
      </c>
      <c r="H366" s="64">
        <f t="shared" si="27"/>
        <v>25342200</v>
      </c>
    </row>
    <row r="367" spans="1:8" x14ac:dyDescent="0.2">
      <c r="A367" s="83">
        <v>3</v>
      </c>
      <c r="B367" s="83">
        <v>72.2</v>
      </c>
      <c r="C367" s="56">
        <v>9371560</v>
      </c>
      <c r="D367" s="56">
        <f t="shared" si="26"/>
        <v>129800</v>
      </c>
      <c r="E367" s="55" t="s">
        <v>27</v>
      </c>
      <c r="F367" s="36" t="s">
        <v>13</v>
      </c>
      <c r="G367" s="35">
        <v>1</v>
      </c>
      <c r="H367" s="64">
        <f t="shared" si="27"/>
        <v>9371560</v>
      </c>
    </row>
    <row r="368" spans="1:8" x14ac:dyDescent="0.2">
      <c r="A368" s="83">
        <v>3</v>
      </c>
      <c r="B368" s="83">
        <v>74.900000000000006</v>
      </c>
      <c r="C368" s="56">
        <v>8763300</v>
      </c>
      <c r="D368" s="56">
        <f t="shared" si="26"/>
        <v>116999.99999999999</v>
      </c>
      <c r="E368" s="55" t="s">
        <v>15</v>
      </c>
      <c r="F368" s="36" t="s">
        <v>13</v>
      </c>
      <c r="G368" s="35">
        <v>1</v>
      </c>
      <c r="H368" s="64">
        <f t="shared" si="27"/>
        <v>8763300</v>
      </c>
    </row>
    <row r="369" spans="1:8" x14ac:dyDescent="0.2">
      <c r="A369" s="83">
        <v>3</v>
      </c>
      <c r="B369" s="83">
        <v>79.599999999999994</v>
      </c>
      <c r="C369" s="56">
        <v>9392800</v>
      </c>
      <c r="D369" s="56">
        <f t="shared" si="26"/>
        <v>118000.00000000001</v>
      </c>
      <c r="E369" s="55" t="s">
        <v>15</v>
      </c>
      <c r="F369" s="36" t="s">
        <v>13</v>
      </c>
      <c r="G369" s="35">
        <v>1</v>
      </c>
      <c r="H369" s="64">
        <f t="shared" si="27"/>
        <v>9392800</v>
      </c>
    </row>
    <row r="370" spans="1:8" x14ac:dyDescent="0.2">
      <c r="A370" s="83">
        <v>3</v>
      </c>
      <c r="B370" s="83">
        <v>84</v>
      </c>
      <c r="C370" s="56">
        <v>9912000</v>
      </c>
      <c r="D370" s="56">
        <f t="shared" si="26"/>
        <v>118000</v>
      </c>
      <c r="E370" s="55" t="s">
        <v>92</v>
      </c>
      <c r="F370" s="36" t="s">
        <v>13</v>
      </c>
      <c r="G370" s="35">
        <v>3</v>
      </c>
      <c r="H370" s="64">
        <f t="shared" si="27"/>
        <v>29736000</v>
      </c>
    </row>
    <row r="371" spans="1:8" x14ac:dyDescent="0.2">
      <c r="A371" s="83">
        <v>3</v>
      </c>
      <c r="B371" s="83">
        <v>84</v>
      </c>
      <c r="C371" s="56">
        <v>10995600</v>
      </c>
      <c r="D371" s="56">
        <f t="shared" si="26"/>
        <v>130900</v>
      </c>
      <c r="E371" s="55" t="s">
        <v>27</v>
      </c>
      <c r="F371" s="36" t="s">
        <v>13</v>
      </c>
      <c r="G371" s="35">
        <v>1</v>
      </c>
      <c r="H371" s="64">
        <f t="shared" si="27"/>
        <v>10995600</v>
      </c>
    </row>
    <row r="372" spans="1:8" x14ac:dyDescent="0.2">
      <c r="A372" s="282" t="s">
        <v>57</v>
      </c>
      <c r="B372" s="283"/>
      <c r="C372" s="283"/>
      <c r="D372" s="283"/>
      <c r="E372" s="283"/>
      <c r="F372" s="283"/>
      <c r="G372" s="46"/>
      <c r="H372" s="204"/>
    </row>
    <row r="373" spans="1:8" x14ac:dyDescent="0.2">
      <c r="A373" s="61" t="s">
        <v>6</v>
      </c>
      <c r="B373" s="67" t="s">
        <v>7</v>
      </c>
      <c r="C373" s="201" t="s">
        <v>8</v>
      </c>
      <c r="D373" s="201" t="s">
        <v>11</v>
      </c>
      <c r="E373" s="68" t="s">
        <v>10</v>
      </c>
      <c r="F373" s="67" t="s">
        <v>9</v>
      </c>
      <c r="G373" s="46"/>
      <c r="H373" s="204"/>
    </row>
    <row r="374" spans="1:8" x14ac:dyDescent="0.2">
      <c r="A374" s="83" t="s">
        <v>16</v>
      </c>
      <c r="B374" s="83">
        <v>26</v>
      </c>
      <c r="C374" s="87">
        <v>5330000</v>
      </c>
      <c r="D374" s="87">
        <f>C374/B374</f>
        <v>205000</v>
      </c>
      <c r="E374" s="85" t="s">
        <v>175</v>
      </c>
      <c r="F374" s="83" t="s">
        <v>13</v>
      </c>
      <c r="G374" s="86">
        <v>2</v>
      </c>
      <c r="H374" s="64">
        <f t="shared" ref="H374:H396" si="28">G374*C374</f>
        <v>10660000</v>
      </c>
    </row>
    <row r="375" spans="1:8" x14ac:dyDescent="0.2">
      <c r="A375" s="83">
        <v>2</v>
      </c>
      <c r="B375" s="83">
        <v>41.5</v>
      </c>
      <c r="C375" s="87">
        <v>7594500</v>
      </c>
      <c r="D375" s="87">
        <f>C375/B375</f>
        <v>183000</v>
      </c>
      <c r="E375" s="85" t="s">
        <v>365</v>
      </c>
      <c r="F375" s="83" t="s">
        <v>13</v>
      </c>
      <c r="G375" s="86">
        <v>2</v>
      </c>
      <c r="H375" s="64"/>
    </row>
    <row r="376" spans="1:8" x14ac:dyDescent="0.2">
      <c r="A376" s="83">
        <v>2</v>
      </c>
      <c r="B376" s="83">
        <v>42.2</v>
      </c>
      <c r="C376" s="56">
        <v>7807000</v>
      </c>
      <c r="D376" s="56">
        <f t="shared" ref="D376:D396" si="29">C376/B376</f>
        <v>185000</v>
      </c>
      <c r="E376" s="55" t="s">
        <v>22</v>
      </c>
      <c r="F376" s="36" t="s">
        <v>13</v>
      </c>
      <c r="G376" s="35">
        <v>1</v>
      </c>
      <c r="H376" s="64">
        <f t="shared" si="28"/>
        <v>7807000</v>
      </c>
    </row>
    <row r="377" spans="1:8" x14ac:dyDescent="0.2">
      <c r="A377" s="83">
        <v>2</v>
      </c>
      <c r="B377" s="83">
        <v>42.2</v>
      </c>
      <c r="C377" s="56">
        <v>8587700</v>
      </c>
      <c r="D377" s="56">
        <f t="shared" si="29"/>
        <v>203500</v>
      </c>
      <c r="E377" s="55" t="s">
        <v>70</v>
      </c>
      <c r="F377" s="36" t="s">
        <v>13</v>
      </c>
      <c r="G377" s="35">
        <v>1</v>
      </c>
      <c r="H377" s="64">
        <f t="shared" si="28"/>
        <v>8587700</v>
      </c>
    </row>
    <row r="378" spans="1:8" x14ac:dyDescent="0.2">
      <c r="A378" s="83">
        <v>2</v>
      </c>
      <c r="B378" s="83">
        <v>48.5</v>
      </c>
      <c r="C378" s="56">
        <v>8487500</v>
      </c>
      <c r="D378" s="56">
        <f t="shared" si="29"/>
        <v>175000</v>
      </c>
      <c r="E378" s="55" t="s">
        <v>134</v>
      </c>
      <c r="F378" s="36" t="s">
        <v>13</v>
      </c>
      <c r="G378" s="35">
        <v>3</v>
      </c>
      <c r="H378" s="64">
        <f t="shared" si="28"/>
        <v>25462500</v>
      </c>
    </row>
    <row r="379" spans="1:8" x14ac:dyDescent="0.2">
      <c r="A379" s="83">
        <v>2</v>
      </c>
      <c r="B379" s="83">
        <v>48.6</v>
      </c>
      <c r="C379" s="56">
        <v>8505000</v>
      </c>
      <c r="D379" s="56">
        <f t="shared" si="29"/>
        <v>175000</v>
      </c>
      <c r="E379" s="55" t="s">
        <v>165</v>
      </c>
      <c r="F379" s="36" t="s">
        <v>13</v>
      </c>
      <c r="G379" s="35">
        <v>3</v>
      </c>
      <c r="H379" s="64">
        <f t="shared" si="28"/>
        <v>25515000</v>
      </c>
    </row>
    <row r="380" spans="1:8" x14ac:dyDescent="0.2">
      <c r="A380" s="83">
        <v>2</v>
      </c>
      <c r="B380" s="83">
        <v>48.7</v>
      </c>
      <c r="C380" s="56">
        <v>8522500</v>
      </c>
      <c r="D380" s="56">
        <f t="shared" si="29"/>
        <v>175000</v>
      </c>
      <c r="E380" s="55" t="s">
        <v>166</v>
      </c>
      <c r="F380" s="36" t="s">
        <v>13</v>
      </c>
      <c r="G380" s="35">
        <v>3</v>
      </c>
      <c r="H380" s="64">
        <f t="shared" si="28"/>
        <v>25567500</v>
      </c>
    </row>
    <row r="381" spans="1:8" x14ac:dyDescent="0.2">
      <c r="A381" s="83">
        <v>2</v>
      </c>
      <c r="B381" s="83">
        <v>48.7</v>
      </c>
      <c r="C381" s="56">
        <v>9593900</v>
      </c>
      <c r="D381" s="56">
        <f t="shared" si="29"/>
        <v>197000</v>
      </c>
      <c r="E381" s="55" t="s">
        <v>70</v>
      </c>
      <c r="F381" s="36" t="s">
        <v>13</v>
      </c>
      <c r="G381" s="35">
        <v>1</v>
      </c>
      <c r="H381" s="64">
        <f t="shared" si="28"/>
        <v>9593900</v>
      </c>
    </row>
    <row r="382" spans="1:8" x14ac:dyDescent="0.2">
      <c r="A382" s="83">
        <v>2</v>
      </c>
      <c r="B382" s="83">
        <v>48.8</v>
      </c>
      <c r="C382" s="56">
        <v>9613600</v>
      </c>
      <c r="D382" s="56">
        <f t="shared" si="29"/>
        <v>197000</v>
      </c>
      <c r="E382" s="55" t="s">
        <v>70</v>
      </c>
      <c r="F382" s="36" t="s">
        <v>13</v>
      </c>
      <c r="G382" s="35">
        <v>1</v>
      </c>
      <c r="H382" s="64">
        <f t="shared" si="28"/>
        <v>9613600</v>
      </c>
    </row>
    <row r="383" spans="1:8" x14ac:dyDescent="0.2">
      <c r="A383" s="83">
        <v>2</v>
      </c>
      <c r="B383" s="83">
        <v>58.7</v>
      </c>
      <c r="C383" s="56">
        <v>9626800</v>
      </c>
      <c r="D383" s="56">
        <f t="shared" si="29"/>
        <v>164000</v>
      </c>
      <c r="E383" s="55" t="s">
        <v>151</v>
      </c>
      <c r="F383" s="36" t="s">
        <v>13</v>
      </c>
      <c r="G383" s="35">
        <v>5</v>
      </c>
      <c r="H383" s="64">
        <f t="shared" si="28"/>
        <v>48134000</v>
      </c>
    </row>
    <row r="384" spans="1:8" x14ac:dyDescent="0.2">
      <c r="A384" s="83">
        <v>2</v>
      </c>
      <c r="B384" s="83">
        <v>58.8</v>
      </c>
      <c r="C384" s="56">
        <v>9643200</v>
      </c>
      <c r="D384" s="56">
        <f t="shared" si="29"/>
        <v>164000</v>
      </c>
      <c r="E384" s="55" t="s">
        <v>338</v>
      </c>
      <c r="F384" s="36" t="s">
        <v>13</v>
      </c>
      <c r="G384" s="35">
        <v>3</v>
      </c>
      <c r="H384" s="64">
        <f t="shared" si="28"/>
        <v>28929600</v>
      </c>
    </row>
    <row r="385" spans="1:8" x14ac:dyDescent="0.2">
      <c r="A385" s="83">
        <v>2</v>
      </c>
      <c r="B385" s="83">
        <v>58.9</v>
      </c>
      <c r="C385" s="56">
        <v>10755140</v>
      </c>
      <c r="D385" s="56">
        <f t="shared" si="29"/>
        <v>182600</v>
      </c>
      <c r="E385" s="55" t="s">
        <v>70</v>
      </c>
      <c r="F385" s="36" t="s">
        <v>13</v>
      </c>
      <c r="G385" s="35">
        <v>1</v>
      </c>
      <c r="H385" s="64">
        <f t="shared" si="28"/>
        <v>10755140</v>
      </c>
    </row>
    <row r="386" spans="1:8" x14ac:dyDescent="0.2">
      <c r="A386" s="83">
        <v>2</v>
      </c>
      <c r="B386" s="83">
        <v>59</v>
      </c>
      <c r="C386" s="56">
        <v>9735000</v>
      </c>
      <c r="D386" s="56">
        <f t="shared" si="29"/>
        <v>165000</v>
      </c>
      <c r="E386" s="55" t="s">
        <v>366</v>
      </c>
      <c r="F386" s="36" t="s">
        <v>13</v>
      </c>
      <c r="G386" s="35">
        <v>4</v>
      </c>
      <c r="H386" s="64">
        <f t="shared" si="28"/>
        <v>38940000</v>
      </c>
    </row>
    <row r="387" spans="1:8" x14ac:dyDescent="0.2">
      <c r="A387" s="83">
        <v>3</v>
      </c>
      <c r="B387" s="83">
        <v>59.6</v>
      </c>
      <c r="C387" s="56">
        <v>10549200</v>
      </c>
      <c r="D387" s="56">
        <f t="shared" si="29"/>
        <v>177000</v>
      </c>
      <c r="E387" s="55" t="s">
        <v>130</v>
      </c>
      <c r="F387" s="36" t="s">
        <v>13</v>
      </c>
      <c r="G387" s="35">
        <v>1</v>
      </c>
      <c r="H387" s="64">
        <f t="shared" si="28"/>
        <v>10549200</v>
      </c>
    </row>
    <row r="388" spans="1:8" x14ac:dyDescent="0.2">
      <c r="A388" s="83">
        <v>3</v>
      </c>
      <c r="B388" s="83">
        <v>60.3</v>
      </c>
      <c r="C388" s="56">
        <v>10552500</v>
      </c>
      <c r="D388" s="56">
        <f t="shared" si="29"/>
        <v>175000</v>
      </c>
      <c r="E388" s="55" t="s">
        <v>176</v>
      </c>
      <c r="F388" s="36" t="s">
        <v>13</v>
      </c>
      <c r="G388" s="35">
        <v>3</v>
      </c>
      <c r="H388" s="64">
        <f t="shared" si="28"/>
        <v>31657500</v>
      </c>
    </row>
    <row r="389" spans="1:8" x14ac:dyDescent="0.2">
      <c r="A389" s="83">
        <v>3</v>
      </c>
      <c r="B389" s="83">
        <v>66.2</v>
      </c>
      <c r="C389" s="56">
        <v>10459600</v>
      </c>
      <c r="D389" s="56">
        <f t="shared" si="29"/>
        <v>158000</v>
      </c>
      <c r="E389" s="55" t="s">
        <v>367</v>
      </c>
      <c r="F389" s="36" t="s">
        <v>13</v>
      </c>
      <c r="G389" s="35">
        <v>5</v>
      </c>
      <c r="H389" s="64">
        <f t="shared" si="28"/>
        <v>52298000</v>
      </c>
    </row>
    <row r="390" spans="1:8" x14ac:dyDescent="0.2">
      <c r="A390" s="83">
        <v>3</v>
      </c>
      <c r="B390" s="83">
        <v>66.2</v>
      </c>
      <c r="C390" s="56">
        <v>10592000</v>
      </c>
      <c r="D390" s="56">
        <f t="shared" si="29"/>
        <v>160000</v>
      </c>
      <c r="E390" s="55" t="s">
        <v>135</v>
      </c>
      <c r="F390" s="36" t="s">
        <v>13</v>
      </c>
      <c r="G390" s="35">
        <v>5</v>
      </c>
      <c r="H390" s="64">
        <f t="shared" si="28"/>
        <v>52960000</v>
      </c>
    </row>
    <row r="391" spans="1:8" x14ac:dyDescent="0.2">
      <c r="A391" s="83">
        <v>3</v>
      </c>
      <c r="B391" s="83">
        <v>66.2</v>
      </c>
      <c r="C391" s="56">
        <v>11796840</v>
      </c>
      <c r="D391" s="56">
        <f t="shared" si="29"/>
        <v>178200</v>
      </c>
      <c r="E391" s="55" t="s">
        <v>70</v>
      </c>
      <c r="F391" s="36" t="s">
        <v>13</v>
      </c>
      <c r="G391" s="35">
        <v>1</v>
      </c>
      <c r="H391" s="64">
        <f t="shared" si="28"/>
        <v>11796840</v>
      </c>
    </row>
    <row r="392" spans="1:8" x14ac:dyDescent="0.2">
      <c r="A392" s="83">
        <v>3</v>
      </c>
      <c r="B392" s="83">
        <v>66.2</v>
      </c>
      <c r="C392" s="56">
        <v>12233760</v>
      </c>
      <c r="D392" s="56">
        <f t="shared" si="29"/>
        <v>184800</v>
      </c>
      <c r="E392" s="55" t="s">
        <v>70</v>
      </c>
      <c r="F392" s="36" t="s">
        <v>13</v>
      </c>
      <c r="G392" s="35">
        <v>1</v>
      </c>
      <c r="H392" s="64">
        <f t="shared" si="28"/>
        <v>12233760</v>
      </c>
    </row>
    <row r="393" spans="1:8" x14ac:dyDescent="0.2">
      <c r="A393" s="83">
        <v>3</v>
      </c>
      <c r="B393" s="83">
        <v>73.400000000000006</v>
      </c>
      <c r="C393" s="56">
        <v>11377000</v>
      </c>
      <c r="D393" s="56">
        <f t="shared" si="29"/>
        <v>155000</v>
      </c>
      <c r="E393" s="55" t="s">
        <v>368</v>
      </c>
      <c r="F393" s="36" t="s">
        <v>13</v>
      </c>
      <c r="G393" s="35">
        <v>5</v>
      </c>
      <c r="H393" s="64">
        <f t="shared" si="28"/>
        <v>56885000</v>
      </c>
    </row>
    <row r="394" spans="1:8" x14ac:dyDescent="0.2">
      <c r="A394" s="83">
        <v>3</v>
      </c>
      <c r="B394" s="83">
        <v>73.8</v>
      </c>
      <c r="C394" s="56">
        <v>11660400</v>
      </c>
      <c r="D394" s="56">
        <f t="shared" si="29"/>
        <v>158000</v>
      </c>
      <c r="E394" s="55" t="s">
        <v>369</v>
      </c>
      <c r="F394" s="36" t="s">
        <v>13</v>
      </c>
      <c r="G394" s="35">
        <v>4</v>
      </c>
      <c r="H394" s="64">
        <f t="shared" si="28"/>
        <v>46641600</v>
      </c>
    </row>
    <row r="395" spans="1:8" x14ac:dyDescent="0.2">
      <c r="A395" s="83">
        <v>3</v>
      </c>
      <c r="B395" s="83">
        <v>73.8</v>
      </c>
      <c r="C395" s="56">
        <v>12988800</v>
      </c>
      <c r="D395" s="56">
        <f t="shared" si="29"/>
        <v>176000</v>
      </c>
      <c r="E395" s="55" t="s">
        <v>70</v>
      </c>
      <c r="F395" s="36" t="s">
        <v>13</v>
      </c>
      <c r="G395" s="35">
        <v>1</v>
      </c>
      <c r="H395" s="64">
        <f t="shared" si="28"/>
        <v>12988800</v>
      </c>
    </row>
    <row r="396" spans="1:8" x14ac:dyDescent="0.2">
      <c r="A396" s="83">
        <v>3</v>
      </c>
      <c r="B396" s="83">
        <v>81.8</v>
      </c>
      <c r="C396" s="56">
        <v>12433600</v>
      </c>
      <c r="D396" s="56">
        <f t="shared" si="29"/>
        <v>152000</v>
      </c>
      <c r="E396" s="55" t="s">
        <v>370</v>
      </c>
      <c r="F396" s="36" t="s">
        <v>13</v>
      </c>
      <c r="G396" s="35">
        <v>5</v>
      </c>
      <c r="H396" s="64">
        <f t="shared" si="28"/>
        <v>62168000</v>
      </c>
    </row>
  </sheetData>
  <autoFilter ref="A2:H396" xr:uid="{BD016010-A8CB-478D-A0CB-054DEB6B7E56}">
    <filterColumn colId="0">
      <iconFilter iconSet="3Arrows"/>
    </filterColumn>
  </autoFilter>
  <mergeCells count="13">
    <mergeCell ref="A118:F118"/>
    <mergeCell ref="A1:F1"/>
    <mergeCell ref="A3:F3"/>
    <mergeCell ref="A11:F11"/>
    <mergeCell ref="A24:F24"/>
    <mergeCell ref="A115:F115"/>
    <mergeCell ref="A372:F372"/>
    <mergeCell ref="A125:F125"/>
    <mergeCell ref="A171:F171"/>
    <mergeCell ref="A223:F223"/>
    <mergeCell ref="A263:F263"/>
    <mergeCell ref="A284:F284"/>
    <mergeCell ref="A325:F32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zoomScaleNormal="100" workbookViewId="0">
      <selection activeCell="E38" sqref="E38"/>
    </sheetView>
  </sheetViews>
  <sheetFormatPr defaultColWidth="8.85546875" defaultRowHeight="12.75" x14ac:dyDescent="0.2"/>
  <cols>
    <col min="1" max="2" width="8.85546875" style="20"/>
    <col min="3" max="3" width="13.85546875" style="20" customWidth="1"/>
    <col min="4" max="4" width="14" style="20" customWidth="1"/>
    <col min="5" max="5" width="9.28515625" style="20" customWidth="1"/>
    <col min="6" max="6" width="14.42578125" style="45" customWidth="1"/>
    <col min="7" max="7" width="10.140625" style="7" bestFit="1" customWidth="1"/>
    <col min="8" max="9" width="10" bestFit="1" customWidth="1"/>
  </cols>
  <sheetData>
    <row r="1" spans="1:6" ht="18" x14ac:dyDescent="0.25">
      <c r="A1" s="290" t="s">
        <v>25</v>
      </c>
      <c r="B1" s="290"/>
      <c r="C1" s="290"/>
      <c r="D1" s="290"/>
      <c r="E1" s="174" t="s">
        <v>53</v>
      </c>
    </row>
    <row r="2" spans="1:6" x14ac:dyDescent="0.2">
      <c r="A2" s="262" t="s">
        <v>76</v>
      </c>
      <c r="B2" s="263"/>
      <c r="C2" s="263"/>
      <c r="D2" s="263"/>
    </row>
    <row r="3" spans="1:6" x14ac:dyDescent="0.2">
      <c r="A3" s="110" t="s">
        <v>6</v>
      </c>
      <c r="B3" s="110" t="s">
        <v>23</v>
      </c>
      <c r="C3" s="110" t="s">
        <v>12</v>
      </c>
      <c r="D3" s="110" t="s">
        <v>24</v>
      </c>
      <c r="E3" s="110" t="s">
        <v>31</v>
      </c>
    </row>
    <row r="4" spans="1:6" x14ac:dyDescent="0.2">
      <c r="A4" s="83">
        <v>1</v>
      </c>
      <c r="B4" s="36">
        <v>29</v>
      </c>
      <c r="C4" s="56">
        <v>3626500</v>
      </c>
      <c r="D4" s="36">
        <f>C4/B4</f>
        <v>125051.72413793103</v>
      </c>
      <c r="E4" s="36">
        <v>1</v>
      </c>
      <c r="F4" s="56">
        <v>3626500</v>
      </c>
    </row>
    <row r="5" spans="1:6" x14ac:dyDescent="0.2">
      <c r="A5" s="83">
        <v>1</v>
      </c>
      <c r="B5" s="36">
        <v>40.5</v>
      </c>
      <c r="C5" s="56">
        <v>4455000</v>
      </c>
      <c r="D5" s="36">
        <f t="shared" ref="D5:D19" si="0">C5/B5</f>
        <v>110000</v>
      </c>
      <c r="E5" s="36">
        <v>2</v>
      </c>
      <c r="F5" s="36">
        <f t="shared" ref="F5:F19" si="1">E5*C5</f>
        <v>8910000</v>
      </c>
    </row>
    <row r="6" spans="1:6" x14ac:dyDescent="0.2">
      <c r="A6" s="83">
        <v>1</v>
      </c>
      <c r="B6" s="36">
        <v>42.2</v>
      </c>
      <c r="C6" s="56">
        <v>4642000</v>
      </c>
      <c r="D6" s="36">
        <f t="shared" si="0"/>
        <v>109999.99999999999</v>
      </c>
      <c r="E6" s="36">
        <v>2</v>
      </c>
      <c r="F6" s="36">
        <f t="shared" si="1"/>
        <v>9284000</v>
      </c>
    </row>
    <row r="7" spans="1:6" x14ac:dyDescent="0.2">
      <c r="A7" s="83">
        <v>1</v>
      </c>
      <c r="B7" s="36">
        <v>42.2</v>
      </c>
      <c r="C7" s="56">
        <v>4747500</v>
      </c>
      <c r="D7" s="36">
        <f t="shared" si="0"/>
        <v>112499.99999999999</v>
      </c>
      <c r="E7" s="36">
        <v>1</v>
      </c>
      <c r="F7" s="36">
        <f t="shared" si="1"/>
        <v>4747500</v>
      </c>
    </row>
    <row r="8" spans="1:6" x14ac:dyDescent="0.2">
      <c r="A8" s="83">
        <v>1</v>
      </c>
      <c r="B8" s="36">
        <v>42.2</v>
      </c>
      <c r="C8" s="56">
        <v>4853000</v>
      </c>
      <c r="D8" s="36">
        <f t="shared" si="0"/>
        <v>114999.99999999999</v>
      </c>
      <c r="E8" s="36">
        <v>3</v>
      </c>
      <c r="F8" s="36">
        <f t="shared" si="1"/>
        <v>14559000</v>
      </c>
    </row>
    <row r="9" spans="1:6" x14ac:dyDescent="0.2">
      <c r="A9" s="83">
        <v>1</v>
      </c>
      <c r="B9" s="36">
        <v>42.8</v>
      </c>
      <c r="C9" s="56">
        <v>4708000</v>
      </c>
      <c r="D9" s="36">
        <f t="shared" si="0"/>
        <v>110000.00000000001</v>
      </c>
      <c r="E9" s="36">
        <v>15</v>
      </c>
      <c r="F9" s="36">
        <f t="shared" si="1"/>
        <v>70620000</v>
      </c>
    </row>
    <row r="10" spans="1:6" x14ac:dyDescent="0.2">
      <c r="A10" s="83">
        <v>1</v>
      </c>
      <c r="B10" s="36">
        <v>42.8</v>
      </c>
      <c r="C10" s="56">
        <v>4922000</v>
      </c>
      <c r="D10" s="36">
        <f t="shared" si="0"/>
        <v>115000.00000000001</v>
      </c>
      <c r="E10" s="36">
        <v>2</v>
      </c>
      <c r="F10" s="36">
        <f t="shared" si="1"/>
        <v>9844000</v>
      </c>
    </row>
    <row r="11" spans="1:6" x14ac:dyDescent="0.2">
      <c r="A11" s="83">
        <v>1</v>
      </c>
      <c r="B11" s="36">
        <v>43.9</v>
      </c>
      <c r="C11" s="56">
        <v>4829000</v>
      </c>
      <c r="D11" s="36">
        <f t="shared" si="0"/>
        <v>110000</v>
      </c>
      <c r="E11" s="36">
        <v>5</v>
      </c>
      <c r="F11" s="36">
        <f t="shared" si="1"/>
        <v>24145000</v>
      </c>
    </row>
    <row r="12" spans="1:6" x14ac:dyDescent="0.2">
      <c r="A12" s="83">
        <v>1</v>
      </c>
      <c r="B12" s="36">
        <v>43.9</v>
      </c>
      <c r="C12" s="56">
        <v>4719250</v>
      </c>
      <c r="D12" s="36">
        <f t="shared" si="0"/>
        <v>107500</v>
      </c>
      <c r="E12" s="36">
        <v>1</v>
      </c>
      <c r="F12" s="36">
        <f t="shared" si="1"/>
        <v>4719250</v>
      </c>
    </row>
    <row r="13" spans="1:6" x14ac:dyDescent="0.2">
      <c r="A13" s="83">
        <v>2</v>
      </c>
      <c r="B13" s="36">
        <v>53.9</v>
      </c>
      <c r="C13" s="56">
        <v>5929000</v>
      </c>
      <c r="D13" s="36">
        <f t="shared" si="0"/>
        <v>110000</v>
      </c>
      <c r="E13" s="36">
        <v>8</v>
      </c>
      <c r="F13" s="36">
        <f t="shared" si="1"/>
        <v>47432000</v>
      </c>
    </row>
    <row r="14" spans="1:6" x14ac:dyDescent="0.2">
      <c r="A14" s="83">
        <v>2</v>
      </c>
      <c r="B14" s="36">
        <v>53.9</v>
      </c>
      <c r="C14" s="56">
        <v>6198500</v>
      </c>
      <c r="D14" s="36">
        <f t="shared" si="0"/>
        <v>115000</v>
      </c>
      <c r="E14" s="36">
        <v>5</v>
      </c>
      <c r="F14" s="36">
        <f t="shared" si="1"/>
        <v>30992500</v>
      </c>
    </row>
    <row r="15" spans="1:6" x14ac:dyDescent="0.2">
      <c r="A15" s="83">
        <v>2</v>
      </c>
      <c r="B15" s="36">
        <v>55.2</v>
      </c>
      <c r="C15" s="56">
        <v>5823600</v>
      </c>
      <c r="D15" s="36">
        <f t="shared" si="0"/>
        <v>105500</v>
      </c>
      <c r="E15" s="36">
        <v>1</v>
      </c>
      <c r="F15" s="36">
        <f t="shared" si="1"/>
        <v>5823600</v>
      </c>
    </row>
    <row r="16" spans="1:6" x14ac:dyDescent="0.2">
      <c r="A16" s="83">
        <v>2</v>
      </c>
      <c r="B16" s="36">
        <v>55.2</v>
      </c>
      <c r="C16" s="56">
        <v>5547600</v>
      </c>
      <c r="D16" s="36">
        <f t="shared" si="0"/>
        <v>100500</v>
      </c>
      <c r="E16" s="36">
        <v>1</v>
      </c>
      <c r="F16" s="36">
        <f t="shared" si="1"/>
        <v>5547600</v>
      </c>
    </row>
    <row r="17" spans="1:7" x14ac:dyDescent="0.2">
      <c r="A17" s="83">
        <v>3</v>
      </c>
      <c r="B17" s="36">
        <v>60.7</v>
      </c>
      <c r="C17" s="56">
        <v>6403850</v>
      </c>
      <c r="D17" s="36">
        <f t="shared" si="0"/>
        <v>105500</v>
      </c>
      <c r="E17" s="36">
        <v>1</v>
      </c>
      <c r="F17" s="36">
        <f t="shared" si="1"/>
        <v>6403850</v>
      </c>
      <c r="G17" s="99"/>
    </row>
    <row r="18" spans="1:7" x14ac:dyDescent="0.2">
      <c r="A18" s="83">
        <v>3</v>
      </c>
      <c r="B18" s="36">
        <v>62</v>
      </c>
      <c r="C18" s="56">
        <v>6820000</v>
      </c>
      <c r="D18" s="36">
        <f t="shared" si="0"/>
        <v>110000</v>
      </c>
      <c r="E18" s="36">
        <v>8</v>
      </c>
      <c r="F18" s="36">
        <f t="shared" si="1"/>
        <v>54560000</v>
      </c>
      <c r="G18" s="99"/>
    </row>
    <row r="19" spans="1:7" x14ac:dyDescent="0.2">
      <c r="A19" s="83">
        <v>3</v>
      </c>
      <c r="B19" s="36">
        <v>62</v>
      </c>
      <c r="C19" s="56">
        <v>7130000</v>
      </c>
      <c r="D19" s="36">
        <f t="shared" si="0"/>
        <v>115000</v>
      </c>
      <c r="E19" s="36">
        <v>5</v>
      </c>
      <c r="F19" s="36">
        <f t="shared" si="1"/>
        <v>35650000</v>
      </c>
      <c r="G19" s="99"/>
    </row>
    <row r="20" spans="1:7" x14ac:dyDescent="0.2">
      <c r="A20" s="262" t="s">
        <v>93</v>
      </c>
      <c r="B20" s="263"/>
      <c r="C20" s="263"/>
      <c r="D20" s="263"/>
      <c r="E20" s="175"/>
      <c r="G20" s="99"/>
    </row>
    <row r="21" spans="1:7" x14ac:dyDescent="0.2">
      <c r="A21" s="110" t="s">
        <v>6</v>
      </c>
      <c r="B21" s="110" t="s">
        <v>23</v>
      </c>
      <c r="C21" s="110" t="s">
        <v>12</v>
      </c>
      <c r="D21" s="110" t="s">
        <v>24</v>
      </c>
      <c r="E21" s="110" t="s">
        <v>31</v>
      </c>
      <c r="G21" s="99"/>
    </row>
    <row r="22" spans="1:7" x14ac:dyDescent="0.2">
      <c r="A22" s="83">
        <v>2</v>
      </c>
      <c r="B22" s="36">
        <v>63.7</v>
      </c>
      <c r="C22" s="56">
        <v>8312850</v>
      </c>
      <c r="D22" s="36">
        <f t="shared" ref="D22:D37" si="2">C22/B22</f>
        <v>130500</v>
      </c>
      <c r="E22" s="36">
        <v>2</v>
      </c>
      <c r="F22" s="36">
        <f t="shared" ref="F22:F37" si="3">E22*C22</f>
        <v>16625700</v>
      </c>
      <c r="G22" s="99"/>
    </row>
    <row r="23" spans="1:7" x14ac:dyDescent="0.2">
      <c r="A23" s="83">
        <v>2</v>
      </c>
      <c r="B23" s="36">
        <v>64.099999999999994</v>
      </c>
      <c r="C23" s="56">
        <v>8204800</v>
      </c>
      <c r="D23" s="36">
        <f t="shared" si="2"/>
        <v>128000.00000000001</v>
      </c>
      <c r="E23" s="36">
        <v>1</v>
      </c>
      <c r="F23" s="36">
        <f t="shared" si="3"/>
        <v>8204800</v>
      </c>
      <c r="G23" s="99"/>
    </row>
    <row r="24" spans="1:7" x14ac:dyDescent="0.2">
      <c r="A24" s="83">
        <v>2</v>
      </c>
      <c r="B24" s="36">
        <v>65.5</v>
      </c>
      <c r="C24" s="56">
        <v>8547750</v>
      </c>
      <c r="D24" s="36">
        <f t="shared" si="2"/>
        <v>130500</v>
      </c>
      <c r="E24" s="36">
        <v>1</v>
      </c>
      <c r="F24" s="36">
        <f t="shared" si="3"/>
        <v>8547750</v>
      </c>
      <c r="G24" s="99"/>
    </row>
    <row r="25" spans="1:7" x14ac:dyDescent="0.2">
      <c r="A25" s="83">
        <v>2</v>
      </c>
      <c r="B25" s="36">
        <v>65.5</v>
      </c>
      <c r="C25" s="56">
        <v>8875250</v>
      </c>
      <c r="D25" s="36">
        <f t="shared" si="2"/>
        <v>135500</v>
      </c>
      <c r="E25" s="36">
        <v>6</v>
      </c>
      <c r="F25" s="36">
        <f t="shared" si="3"/>
        <v>53251500</v>
      </c>
      <c r="G25" s="99"/>
    </row>
    <row r="26" spans="1:7" x14ac:dyDescent="0.2">
      <c r="A26" s="83">
        <v>2</v>
      </c>
      <c r="B26" s="36">
        <v>65.7</v>
      </c>
      <c r="C26" s="56">
        <v>8573850</v>
      </c>
      <c r="D26" s="36">
        <f t="shared" si="2"/>
        <v>130500</v>
      </c>
      <c r="E26" s="36">
        <v>1</v>
      </c>
      <c r="F26" s="36">
        <f t="shared" si="3"/>
        <v>8573850</v>
      </c>
      <c r="G26" s="99"/>
    </row>
    <row r="27" spans="1:7" x14ac:dyDescent="0.2">
      <c r="A27" s="83">
        <v>2</v>
      </c>
      <c r="B27" s="36">
        <v>65.099999999999994</v>
      </c>
      <c r="C27" s="56">
        <v>8821050</v>
      </c>
      <c r="D27" s="36">
        <f t="shared" si="2"/>
        <v>135500</v>
      </c>
      <c r="E27" s="36">
        <v>2</v>
      </c>
      <c r="F27" s="36">
        <f t="shared" si="3"/>
        <v>17642100</v>
      </c>
      <c r="G27" s="99"/>
    </row>
    <row r="28" spans="1:7" x14ac:dyDescent="0.2">
      <c r="A28" s="83">
        <v>3</v>
      </c>
      <c r="B28" s="36">
        <v>71.8</v>
      </c>
      <c r="C28" s="56">
        <v>9369900</v>
      </c>
      <c r="D28" s="36">
        <f t="shared" si="2"/>
        <v>130500</v>
      </c>
      <c r="E28" s="36">
        <v>5</v>
      </c>
      <c r="F28" s="36">
        <f t="shared" si="3"/>
        <v>46849500</v>
      </c>
      <c r="G28" s="99"/>
    </row>
    <row r="29" spans="1:7" x14ac:dyDescent="0.2">
      <c r="A29" s="83">
        <v>3</v>
      </c>
      <c r="B29" s="36">
        <v>72.2</v>
      </c>
      <c r="C29" s="56">
        <v>9422100</v>
      </c>
      <c r="D29" s="36">
        <f t="shared" si="2"/>
        <v>130500</v>
      </c>
      <c r="E29" s="36">
        <v>1</v>
      </c>
      <c r="F29" s="36">
        <f t="shared" si="3"/>
        <v>9422100</v>
      </c>
      <c r="G29" s="99"/>
    </row>
    <row r="30" spans="1:7" x14ac:dyDescent="0.2">
      <c r="A30" s="83">
        <v>3</v>
      </c>
      <c r="B30" s="36">
        <v>73.900000000000006</v>
      </c>
      <c r="C30" s="56">
        <v>9643950</v>
      </c>
      <c r="D30" s="36">
        <f t="shared" si="2"/>
        <v>130499.99999999999</v>
      </c>
      <c r="E30" s="36">
        <v>1</v>
      </c>
      <c r="F30" s="36">
        <f t="shared" si="3"/>
        <v>9643950</v>
      </c>
      <c r="G30" s="99"/>
    </row>
    <row r="31" spans="1:7" x14ac:dyDescent="0.2">
      <c r="A31" s="83">
        <v>3</v>
      </c>
      <c r="B31" s="36">
        <v>73.900000000000006</v>
      </c>
      <c r="C31" s="56">
        <v>10013450</v>
      </c>
      <c r="D31" s="36">
        <f t="shared" si="2"/>
        <v>135500</v>
      </c>
      <c r="E31" s="36">
        <v>6</v>
      </c>
      <c r="F31" s="36">
        <f t="shared" si="3"/>
        <v>60080700</v>
      </c>
      <c r="G31" s="99"/>
    </row>
    <row r="32" spans="1:7" x14ac:dyDescent="0.2">
      <c r="A32" s="83">
        <v>3</v>
      </c>
      <c r="B32" s="36">
        <v>76.5</v>
      </c>
      <c r="C32" s="56">
        <v>9639000</v>
      </c>
      <c r="D32" s="36">
        <f t="shared" si="2"/>
        <v>126000</v>
      </c>
      <c r="E32" s="36">
        <v>1</v>
      </c>
      <c r="F32" s="36">
        <f t="shared" si="3"/>
        <v>9639000</v>
      </c>
      <c r="G32" s="99"/>
    </row>
    <row r="33" spans="1:7" x14ac:dyDescent="0.2">
      <c r="A33" s="83">
        <v>2</v>
      </c>
      <c r="B33" s="36">
        <v>77.900000000000006</v>
      </c>
      <c r="C33" s="56">
        <v>10165950</v>
      </c>
      <c r="D33" s="36">
        <f t="shared" si="2"/>
        <v>130499.99999999999</v>
      </c>
      <c r="E33" s="36">
        <v>3</v>
      </c>
      <c r="F33" s="36">
        <f t="shared" si="3"/>
        <v>30497850</v>
      </c>
      <c r="G33" s="99"/>
    </row>
    <row r="34" spans="1:7" x14ac:dyDescent="0.2">
      <c r="A34" s="83">
        <v>2</v>
      </c>
      <c r="B34" s="36">
        <v>78.599999999999994</v>
      </c>
      <c r="C34" s="56">
        <v>10257300</v>
      </c>
      <c r="D34" s="36">
        <f t="shared" si="2"/>
        <v>130500.00000000001</v>
      </c>
      <c r="E34" s="36">
        <v>2</v>
      </c>
      <c r="F34" s="36">
        <f t="shared" si="3"/>
        <v>20514600</v>
      </c>
      <c r="G34" s="99"/>
    </row>
    <row r="35" spans="1:7" x14ac:dyDescent="0.2">
      <c r="A35" s="83">
        <v>2</v>
      </c>
      <c r="B35" s="36">
        <v>80.3</v>
      </c>
      <c r="C35" s="56">
        <v>10479150</v>
      </c>
      <c r="D35" s="36">
        <f t="shared" si="2"/>
        <v>130500</v>
      </c>
      <c r="E35" s="36">
        <v>1</v>
      </c>
      <c r="F35" s="36">
        <f t="shared" si="3"/>
        <v>10479150</v>
      </c>
      <c r="G35" s="99"/>
    </row>
    <row r="36" spans="1:7" x14ac:dyDescent="0.2">
      <c r="A36" s="83">
        <v>2</v>
      </c>
      <c r="B36" s="36">
        <v>81.7</v>
      </c>
      <c r="C36" s="56">
        <v>10661850</v>
      </c>
      <c r="D36" s="36">
        <f t="shared" si="2"/>
        <v>130500</v>
      </c>
      <c r="E36" s="36">
        <v>1</v>
      </c>
      <c r="F36" s="36">
        <f t="shared" si="3"/>
        <v>10661850</v>
      </c>
      <c r="G36" s="99"/>
    </row>
    <row r="37" spans="1:7" x14ac:dyDescent="0.2">
      <c r="A37" s="83">
        <v>2</v>
      </c>
      <c r="B37" s="36">
        <v>81.7</v>
      </c>
      <c r="C37" s="56">
        <v>11070350</v>
      </c>
      <c r="D37" s="36">
        <f t="shared" si="2"/>
        <v>135500</v>
      </c>
      <c r="E37" s="36">
        <v>6</v>
      </c>
      <c r="F37" s="36">
        <f t="shared" si="3"/>
        <v>66422100</v>
      </c>
      <c r="G37" s="99"/>
    </row>
  </sheetData>
  <autoFilter ref="A3:E51" xr:uid="{00000000-0009-0000-0000-000003000000}"/>
  <sortState ref="A18:G37">
    <sortCondition ref="B19:B37"/>
  </sortState>
  <mergeCells count="3">
    <mergeCell ref="A1:D1"/>
    <mergeCell ref="A2:D2"/>
    <mergeCell ref="A20:D20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H562"/>
  <sheetViews>
    <sheetView zoomScaleNormal="100" workbookViewId="0">
      <selection activeCell="D168" sqref="D168"/>
    </sheetView>
  </sheetViews>
  <sheetFormatPr defaultColWidth="14.42578125" defaultRowHeight="15.75" customHeight="1" x14ac:dyDescent="0.2"/>
  <cols>
    <col min="1" max="1" width="9.42578125" customWidth="1"/>
    <col min="2" max="2" width="11.42578125" customWidth="1"/>
    <col min="3" max="3" width="9.140625" customWidth="1"/>
    <col min="4" max="4" width="13.85546875" customWidth="1"/>
    <col min="5" max="5" width="11.42578125" customWidth="1"/>
    <col min="6" max="6" width="8.140625" customWidth="1"/>
    <col min="7" max="7" width="14.42578125" style="7"/>
  </cols>
  <sheetData>
    <row r="1" spans="1:8" ht="18" x14ac:dyDescent="0.25">
      <c r="A1" s="291" t="s">
        <v>20</v>
      </c>
      <c r="B1" s="292"/>
      <c r="C1" s="292"/>
      <c r="D1" s="292"/>
      <c r="E1" s="292"/>
      <c r="F1" s="292"/>
      <c r="G1" s="17" t="s">
        <v>53</v>
      </c>
    </row>
    <row r="2" spans="1:8" ht="15.75" customHeight="1" x14ac:dyDescent="0.2">
      <c r="A2" s="30" t="s">
        <v>6</v>
      </c>
      <c r="B2" s="30" t="s">
        <v>7</v>
      </c>
      <c r="C2" s="31" t="s">
        <v>10</v>
      </c>
      <c r="D2" s="11" t="s">
        <v>35</v>
      </c>
      <c r="E2" s="11" t="s">
        <v>12</v>
      </c>
      <c r="F2" s="12" t="s">
        <v>38</v>
      </c>
    </row>
    <row r="3" spans="1:8" ht="12.75" x14ac:dyDescent="0.2">
      <c r="A3" s="293" t="s">
        <v>157</v>
      </c>
      <c r="B3" s="294"/>
      <c r="C3" s="294"/>
      <c r="D3" s="294"/>
      <c r="E3" s="294"/>
      <c r="F3" s="294"/>
    </row>
    <row r="4" spans="1:8" s="98" customFormat="1" ht="12.75" x14ac:dyDescent="0.2">
      <c r="A4" s="101">
        <v>1</v>
      </c>
      <c r="B4" s="101">
        <v>39.200000000000003</v>
      </c>
      <c r="C4" s="101">
        <v>6</v>
      </c>
      <c r="D4" s="101">
        <f t="shared" ref="D4:D35" si="0">E4/B4</f>
        <v>172300</v>
      </c>
      <c r="E4" s="102">
        <v>6754160</v>
      </c>
      <c r="F4" s="115">
        <v>1</v>
      </c>
      <c r="G4" s="5">
        <f t="shared" ref="G4:G12" si="1">F4*E4</f>
        <v>6754160</v>
      </c>
      <c r="H4" s="163"/>
    </row>
    <row r="5" spans="1:8" s="98" customFormat="1" ht="12.75" x14ac:dyDescent="0.2">
      <c r="A5" s="101">
        <v>1</v>
      </c>
      <c r="B5" s="101">
        <v>39.200000000000003</v>
      </c>
      <c r="C5" s="101">
        <v>7</v>
      </c>
      <c r="D5" s="101">
        <f t="shared" si="0"/>
        <v>175300</v>
      </c>
      <c r="E5" s="102">
        <v>6871760</v>
      </c>
      <c r="F5" s="115">
        <v>1</v>
      </c>
      <c r="G5" s="5">
        <f t="shared" si="1"/>
        <v>6871760</v>
      </c>
      <c r="H5" s="163"/>
    </row>
    <row r="6" spans="1:8" s="98" customFormat="1" ht="12.75" x14ac:dyDescent="0.2">
      <c r="A6" s="101">
        <v>1</v>
      </c>
      <c r="B6" s="101">
        <v>39.200000000000003</v>
      </c>
      <c r="C6" s="101">
        <v>8</v>
      </c>
      <c r="D6" s="101">
        <f t="shared" si="0"/>
        <v>175300</v>
      </c>
      <c r="E6" s="102">
        <v>6871760</v>
      </c>
      <c r="F6" s="115">
        <v>1</v>
      </c>
      <c r="G6" s="5">
        <f t="shared" si="1"/>
        <v>6871760</v>
      </c>
      <c r="H6" s="163"/>
    </row>
    <row r="7" spans="1:8" s="98" customFormat="1" ht="12.75" x14ac:dyDescent="0.2">
      <c r="A7" s="101">
        <v>1</v>
      </c>
      <c r="B7" s="101">
        <v>39.200000000000003</v>
      </c>
      <c r="C7" s="101">
        <v>9</v>
      </c>
      <c r="D7" s="101">
        <f t="shared" si="0"/>
        <v>175300</v>
      </c>
      <c r="E7" s="102">
        <v>6871760</v>
      </c>
      <c r="F7" s="115">
        <v>1</v>
      </c>
      <c r="G7" s="5">
        <f t="shared" si="1"/>
        <v>6871760</v>
      </c>
      <c r="H7" s="163"/>
    </row>
    <row r="8" spans="1:8" s="98" customFormat="1" ht="12.75" x14ac:dyDescent="0.2">
      <c r="A8" s="101">
        <v>1</v>
      </c>
      <c r="B8" s="101">
        <v>39.200000000000003</v>
      </c>
      <c r="C8" s="101">
        <v>10</v>
      </c>
      <c r="D8" s="101">
        <f t="shared" si="0"/>
        <v>180300</v>
      </c>
      <c r="E8" s="102">
        <v>7067760</v>
      </c>
      <c r="F8" s="115">
        <v>1</v>
      </c>
      <c r="G8" s="5">
        <f t="shared" si="1"/>
        <v>7067760</v>
      </c>
      <c r="H8" s="163"/>
    </row>
    <row r="9" spans="1:8" s="98" customFormat="1" ht="12.75" x14ac:dyDescent="0.2">
      <c r="A9" s="101">
        <v>1</v>
      </c>
      <c r="B9" s="101">
        <v>39.200000000000003</v>
      </c>
      <c r="C9" s="101">
        <v>11</v>
      </c>
      <c r="D9" s="101">
        <f t="shared" si="0"/>
        <v>180300</v>
      </c>
      <c r="E9" s="102">
        <v>7067760</v>
      </c>
      <c r="F9" s="115">
        <v>1</v>
      </c>
      <c r="G9" s="5">
        <f t="shared" si="1"/>
        <v>7067760</v>
      </c>
      <c r="H9" s="163"/>
    </row>
    <row r="10" spans="1:8" s="98" customFormat="1" ht="12.75" x14ac:dyDescent="0.2">
      <c r="A10" s="101">
        <v>1</v>
      </c>
      <c r="B10" s="101">
        <v>39.4</v>
      </c>
      <c r="C10" s="101">
        <v>2</v>
      </c>
      <c r="D10" s="101">
        <f t="shared" si="0"/>
        <v>170300</v>
      </c>
      <c r="E10" s="102">
        <v>6709820</v>
      </c>
      <c r="F10" s="115">
        <v>1</v>
      </c>
      <c r="G10" s="5">
        <f t="shared" si="1"/>
        <v>6709820</v>
      </c>
      <c r="H10" s="163"/>
    </row>
    <row r="11" spans="1:8" s="98" customFormat="1" ht="12.75" x14ac:dyDescent="0.2">
      <c r="A11" s="101">
        <v>1</v>
      </c>
      <c r="B11" s="101">
        <v>39.4</v>
      </c>
      <c r="C11" s="101">
        <v>3</v>
      </c>
      <c r="D11" s="101">
        <f t="shared" si="0"/>
        <v>170300</v>
      </c>
      <c r="E11" s="102">
        <v>6709820</v>
      </c>
      <c r="F11" s="115">
        <v>1</v>
      </c>
      <c r="G11" s="5">
        <f t="shared" si="1"/>
        <v>6709820</v>
      </c>
      <c r="H11" s="163"/>
    </row>
    <row r="12" spans="1:8" s="98" customFormat="1" ht="12.75" x14ac:dyDescent="0.2">
      <c r="A12" s="101">
        <v>1</v>
      </c>
      <c r="B12" s="101">
        <v>39.4</v>
      </c>
      <c r="C12" s="101">
        <v>4</v>
      </c>
      <c r="D12" s="101">
        <f t="shared" si="0"/>
        <v>170300</v>
      </c>
      <c r="E12" s="102">
        <v>6709820</v>
      </c>
      <c r="F12" s="115">
        <v>1</v>
      </c>
      <c r="G12" s="5">
        <f t="shared" si="1"/>
        <v>6709820</v>
      </c>
      <c r="H12" s="163"/>
    </row>
    <row r="13" spans="1:8" s="98" customFormat="1" ht="12.75" x14ac:dyDescent="0.2">
      <c r="A13" s="101">
        <v>1</v>
      </c>
      <c r="B13" s="101">
        <v>41.2</v>
      </c>
      <c r="C13" s="101">
        <v>2</v>
      </c>
      <c r="D13" s="101">
        <f t="shared" si="0"/>
        <v>165300</v>
      </c>
      <c r="E13" s="102">
        <v>6810360</v>
      </c>
      <c r="F13" s="115">
        <v>1</v>
      </c>
      <c r="G13" s="5">
        <f t="shared" ref="G13:G62" si="2">F13*E13</f>
        <v>6810360</v>
      </c>
    </row>
    <row r="14" spans="1:8" s="98" customFormat="1" ht="12.75" x14ac:dyDescent="0.2">
      <c r="A14" s="101">
        <v>1</v>
      </c>
      <c r="B14" s="101">
        <v>41.2</v>
      </c>
      <c r="C14" s="101">
        <v>3</v>
      </c>
      <c r="D14" s="101">
        <f t="shared" si="0"/>
        <v>165300</v>
      </c>
      <c r="E14" s="102">
        <v>6810360</v>
      </c>
      <c r="F14" s="115">
        <v>1</v>
      </c>
      <c r="G14" s="5">
        <f t="shared" si="2"/>
        <v>6810360</v>
      </c>
    </row>
    <row r="15" spans="1:8" s="98" customFormat="1" ht="12.75" x14ac:dyDescent="0.2">
      <c r="A15" s="101">
        <v>1</v>
      </c>
      <c r="B15" s="101">
        <v>41.2</v>
      </c>
      <c r="C15" s="101">
        <v>5</v>
      </c>
      <c r="D15" s="101">
        <f t="shared" si="0"/>
        <v>165300</v>
      </c>
      <c r="E15" s="102">
        <v>6810360</v>
      </c>
      <c r="F15" s="115">
        <v>1</v>
      </c>
      <c r="G15" s="5">
        <f t="shared" si="2"/>
        <v>6810360</v>
      </c>
    </row>
    <row r="16" spans="1:8" s="98" customFormat="1" ht="12.75" x14ac:dyDescent="0.2">
      <c r="A16" s="101">
        <v>1</v>
      </c>
      <c r="B16" s="101">
        <v>41.2</v>
      </c>
      <c r="C16" s="101">
        <v>6</v>
      </c>
      <c r="D16" s="101">
        <f t="shared" si="0"/>
        <v>168300</v>
      </c>
      <c r="E16" s="102">
        <v>6933960</v>
      </c>
      <c r="F16" s="115">
        <v>1</v>
      </c>
      <c r="G16" s="5">
        <f t="shared" si="2"/>
        <v>6933960</v>
      </c>
    </row>
    <row r="17" spans="1:7" s="98" customFormat="1" ht="12.75" x14ac:dyDescent="0.2">
      <c r="A17" s="101">
        <v>1</v>
      </c>
      <c r="B17" s="101">
        <v>41.2</v>
      </c>
      <c r="C17" s="101">
        <v>7</v>
      </c>
      <c r="D17" s="101">
        <f t="shared" si="0"/>
        <v>165300</v>
      </c>
      <c r="E17" s="102">
        <v>6810360</v>
      </c>
      <c r="F17" s="115">
        <v>1</v>
      </c>
      <c r="G17" s="5">
        <f t="shared" si="2"/>
        <v>6810360</v>
      </c>
    </row>
    <row r="18" spans="1:7" s="98" customFormat="1" ht="12.75" x14ac:dyDescent="0.2">
      <c r="A18" s="101">
        <v>1</v>
      </c>
      <c r="B18" s="101">
        <v>41.2</v>
      </c>
      <c r="C18" s="101">
        <v>8</v>
      </c>
      <c r="D18" s="101">
        <f t="shared" si="0"/>
        <v>168300</v>
      </c>
      <c r="E18" s="102">
        <v>6933960</v>
      </c>
      <c r="F18" s="115">
        <v>1</v>
      </c>
      <c r="G18" s="5">
        <f t="shared" si="2"/>
        <v>6933960</v>
      </c>
    </row>
    <row r="19" spans="1:7" s="98" customFormat="1" ht="12.75" x14ac:dyDescent="0.2">
      <c r="A19" s="101">
        <v>1</v>
      </c>
      <c r="B19" s="101">
        <v>41.2</v>
      </c>
      <c r="C19" s="101">
        <v>9</v>
      </c>
      <c r="D19" s="101">
        <f t="shared" si="0"/>
        <v>168300</v>
      </c>
      <c r="E19" s="102">
        <v>6933960</v>
      </c>
      <c r="F19" s="115">
        <v>1</v>
      </c>
      <c r="G19" s="5">
        <f t="shared" si="2"/>
        <v>6933960</v>
      </c>
    </row>
    <row r="20" spans="1:7" s="98" customFormat="1" ht="12.75" x14ac:dyDescent="0.2">
      <c r="A20" s="101">
        <v>2</v>
      </c>
      <c r="B20" s="101">
        <v>41.5</v>
      </c>
      <c r="C20" s="101">
        <v>2</v>
      </c>
      <c r="D20" s="101">
        <f t="shared" si="0"/>
        <v>160300</v>
      </c>
      <c r="E20" s="102">
        <v>6652450</v>
      </c>
      <c r="F20" s="115">
        <v>1</v>
      </c>
      <c r="G20" s="5">
        <f t="shared" si="2"/>
        <v>6652450</v>
      </c>
    </row>
    <row r="21" spans="1:7" s="98" customFormat="1" ht="12.75" x14ac:dyDescent="0.2">
      <c r="A21" s="101">
        <v>2</v>
      </c>
      <c r="B21" s="101">
        <v>41.5</v>
      </c>
      <c r="C21" s="101">
        <v>3</v>
      </c>
      <c r="D21" s="101">
        <f t="shared" si="0"/>
        <v>160300</v>
      </c>
      <c r="E21" s="102">
        <v>6652450</v>
      </c>
      <c r="F21" s="115">
        <v>1</v>
      </c>
      <c r="G21" s="5">
        <f t="shared" si="2"/>
        <v>6652450</v>
      </c>
    </row>
    <row r="22" spans="1:7" s="98" customFormat="1" ht="12.75" x14ac:dyDescent="0.2">
      <c r="A22" s="101">
        <v>2</v>
      </c>
      <c r="B22" s="101">
        <v>41.5</v>
      </c>
      <c r="C22" s="101">
        <v>4</v>
      </c>
      <c r="D22" s="101">
        <f t="shared" si="0"/>
        <v>160300</v>
      </c>
      <c r="E22" s="102">
        <v>6652450</v>
      </c>
      <c r="F22" s="115">
        <v>1</v>
      </c>
      <c r="G22" s="5">
        <f t="shared" si="2"/>
        <v>6652450</v>
      </c>
    </row>
    <row r="23" spans="1:7" s="98" customFormat="1" ht="12.75" x14ac:dyDescent="0.2">
      <c r="A23" s="101">
        <v>2</v>
      </c>
      <c r="B23" s="101">
        <v>41.5</v>
      </c>
      <c r="C23" s="101">
        <v>5</v>
      </c>
      <c r="D23" s="101">
        <f t="shared" si="0"/>
        <v>165300</v>
      </c>
      <c r="E23" s="102">
        <v>6859950</v>
      </c>
      <c r="F23" s="115">
        <v>1</v>
      </c>
      <c r="G23" s="5">
        <f t="shared" si="2"/>
        <v>6859950</v>
      </c>
    </row>
    <row r="24" spans="1:7" s="98" customFormat="1" ht="12.75" x14ac:dyDescent="0.2">
      <c r="A24" s="101">
        <v>2</v>
      </c>
      <c r="B24" s="101">
        <v>43.4</v>
      </c>
      <c r="C24" s="101">
        <v>6</v>
      </c>
      <c r="D24" s="101">
        <f t="shared" si="0"/>
        <v>163300</v>
      </c>
      <c r="E24" s="102">
        <v>7087220</v>
      </c>
      <c r="F24" s="115">
        <v>1</v>
      </c>
      <c r="G24" s="5">
        <f t="shared" si="2"/>
        <v>7087220</v>
      </c>
    </row>
    <row r="25" spans="1:7" s="98" customFormat="1" ht="12.75" x14ac:dyDescent="0.2">
      <c r="A25" s="101">
        <v>2</v>
      </c>
      <c r="B25" s="101">
        <v>43.4</v>
      </c>
      <c r="C25" s="101">
        <v>7</v>
      </c>
      <c r="D25" s="101">
        <f t="shared" si="0"/>
        <v>160300</v>
      </c>
      <c r="E25" s="102">
        <v>6957020</v>
      </c>
      <c r="F25" s="115">
        <v>1</v>
      </c>
      <c r="G25" s="5">
        <f t="shared" si="2"/>
        <v>6957020</v>
      </c>
    </row>
    <row r="26" spans="1:7" s="98" customFormat="1" ht="12.75" x14ac:dyDescent="0.2">
      <c r="A26" s="101">
        <v>2</v>
      </c>
      <c r="B26" s="101">
        <v>43.4</v>
      </c>
      <c r="C26" s="101">
        <v>9</v>
      </c>
      <c r="D26" s="101">
        <f t="shared" si="0"/>
        <v>163300</v>
      </c>
      <c r="E26" s="102">
        <v>7087220</v>
      </c>
      <c r="F26" s="115">
        <v>1</v>
      </c>
      <c r="G26" s="5">
        <f t="shared" si="2"/>
        <v>7087220</v>
      </c>
    </row>
    <row r="27" spans="1:7" s="98" customFormat="1" ht="12.75" x14ac:dyDescent="0.2">
      <c r="A27" s="101">
        <v>3</v>
      </c>
      <c r="B27" s="101">
        <v>54.6</v>
      </c>
      <c r="C27" s="101">
        <v>6</v>
      </c>
      <c r="D27" s="101">
        <f t="shared" si="0"/>
        <v>167300</v>
      </c>
      <c r="E27" s="102">
        <v>9134580</v>
      </c>
      <c r="F27" s="115">
        <v>1</v>
      </c>
      <c r="G27" s="5">
        <f t="shared" si="2"/>
        <v>9134580</v>
      </c>
    </row>
    <row r="28" spans="1:7" s="98" customFormat="1" ht="12.75" x14ac:dyDescent="0.2">
      <c r="A28" s="101">
        <v>3</v>
      </c>
      <c r="B28" s="101">
        <v>54.6</v>
      </c>
      <c r="C28" s="101">
        <v>7</v>
      </c>
      <c r="D28" s="101">
        <f t="shared" si="0"/>
        <v>170300</v>
      </c>
      <c r="E28" s="102">
        <v>9298380</v>
      </c>
      <c r="F28" s="115">
        <v>1</v>
      </c>
      <c r="G28" s="5">
        <f t="shared" si="2"/>
        <v>9298380</v>
      </c>
    </row>
    <row r="29" spans="1:7" s="98" customFormat="1" ht="12.75" x14ac:dyDescent="0.2">
      <c r="A29" s="101">
        <v>3</v>
      </c>
      <c r="B29" s="101">
        <v>54.6</v>
      </c>
      <c r="C29" s="101">
        <v>8</v>
      </c>
      <c r="D29" s="101">
        <f t="shared" si="0"/>
        <v>170300</v>
      </c>
      <c r="E29" s="102">
        <v>9298380</v>
      </c>
      <c r="F29" s="115">
        <v>1</v>
      </c>
      <c r="G29" s="5">
        <f t="shared" si="2"/>
        <v>9298380</v>
      </c>
    </row>
    <row r="30" spans="1:7" s="98" customFormat="1" ht="12.75" x14ac:dyDescent="0.2">
      <c r="A30" s="101">
        <v>3</v>
      </c>
      <c r="B30" s="101">
        <v>54.6</v>
      </c>
      <c r="C30" s="101">
        <v>9</v>
      </c>
      <c r="D30" s="101">
        <f t="shared" si="0"/>
        <v>170300</v>
      </c>
      <c r="E30" s="102">
        <v>9298380</v>
      </c>
      <c r="F30" s="115">
        <v>1</v>
      </c>
      <c r="G30" s="5">
        <f t="shared" si="2"/>
        <v>9298380</v>
      </c>
    </row>
    <row r="31" spans="1:7" s="98" customFormat="1" ht="12.75" x14ac:dyDescent="0.2">
      <c r="A31" s="101">
        <v>3</v>
      </c>
      <c r="B31" s="101">
        <v>54.6</v>
      </c>
      <c r="C31" s="101">
        <v>10</v>
      </c>
      <c r="D31" s="101">
        <f t="shared" si="0"/>
        <v>175300</v>
      </c>
      <c r="E31" s="102">
        <v>9571380</v>
      </c>
      <c r="F31" s="115">
        <v>1</v>
      </c>
      <c r="G31" s="5">
        <f t="shared" si="2"/>
        <v>9571380</v>
      </c>
    </row>
    <row r="32" spans="1:7" s="98" customFormat="1" ht="12.75" x14ac:dyDescent="0.2">
      <c r="A32" s="101">
        <v>3</v>
      </c>
      <c r="B32" s="101">
        <v>54.6</v>
      </c>
      <c r="C32" s="101">
        <v>11</v>
      </c>
      <c r="D32" s="101">
        <f t="shared" si="0"/>
        <v>175300</v>
      </c>
      <c r="E32" s="102">
        <v>9571380</v>
      </c>
      <c r="F32" s="115">
        <v>1</v>
      </c>
      <c r="G32" s="5">
        <f t="shared" si="2"/>
        <v>9571380</v>
      </c>
    </row>
    <row r="33" spans="1:7" s="98" customFormat="1" ht="12.75" x14ac:dyDescent="0.2">
      <c r="A33" s="101">
        <v>3</v>
      </c>
      <c r="B33" s="101">
        <v>54.6</v>
      </c>
      <c r="C33" s="101">
        <v>12</v>
      </c>
      <c r="D33" s="101">
        <f t="shared" si="0"/>
        <v>178300</v>
      </c>
      <c r="E33" s="102">
        <v>9735180</v>
      </c>
      <c r="F33" s="115">
        <v>1</v>
      </c>
      <c r="G33" s="5">
        <f t="shared" si="2"/>
        <v>9735180</v>
      </c>
    </row>
    <row r="34" spans="1:7" s="98" customFormat="1" ht="12.75" x14ac:dyDescent="0.2">
      <c r="A34" s="101">
        <v>3</v>
      </c>
      <c r="B34" s="101">
        <v>54.8</v>
      </c>
      <c r="C34" s="101">
        <v>2</v>
      </c>
      <c r="D34" s="101">
        <f t="shared" si="0"/>
        <v>165300</v>
      </c>
      <c r="E34" s="102">
        <v>9058440</v>
      </c>
      <c r="F34" s="115">
        <v>1</v>
      </c>
      <c r="G34" s="5">
        <f t="shared" si="2"/>
        <v>9058440</v>
      </c>
    </row>
    <row r="35" spans="1:7" s="98" customFormat="1" ht="12.75" x14ac:dyDescent="0.2">
      <c r="A35" s="101">
        <v>3</v>
      </c>
      <c r="B35" s="101">
        <v>54.8</v>
      </c>
      <c r="C35" s="101">
        <v>3</v>
      </c>
      <c r="D35" s="101">
        <f t="shared" si="0"/>
        <v>165300</v>
      </c>
      <c r="E35" s="102">
        <v>9058440</v>
      </c>
      <c r="F35" s="115">
        <v>1</v>
      </c>
      <c r="G35" s="5">
        <f t="shared" si="2"/>
        <v>9058440</v>
      </c>
    </row>
    <row r="36" spans="1:7" s="98" customFormat="1" ht="12.75" x14ac:dyDescent="0.2">
      <c r="A36" s="101">
        <v>3</v>
      </c>
      <c r="B36" s="101">
        <v>54.8</v>
      </c>
      <c r="C36" s="101">
        <v>4</v>
      </c>
      <c r="D36" s="101">
        <f t="shared" ref="D36:D65" si="3">E36/B36</f>
        <v>165300</v>
      </c>
      <c r="E36" s="102">
        <v>9058440</v>
      </c>
      <c r="F36" s="115">
        <v>1</v>
      </c>
      <c r="G36" s="5">
        <f t="shared" si="2"/>
        <v>9058440</v>
      </c>
    </row>
    <row r="37" spans="1:7" s="98" customFormat="1" ht="12.75" x14ac:dyDescent="0.2">
      <c r="A37" s="101">
        <v>3</v>
      </c>
      <c r="B37" s="101">
        <v>54.8</v>
      </c>
      <c r="C37" s="101">
        <v>5</v>
      </c>
      <c r="D37" s="101">
        <f t="shared" si="3"/>
        <v>165300</v>
      </c>
      <c r="E37" s="102">
        <v>9058440</v>
      </c>
      <c r="F37" s="115">
        <v>1</v>
      </c>
      <c r="G37" s="5">
        <f t="shared" si="2"/>
        <v>9058440</v>
      </c>
    </row>
    <row r="38" spans="1:7" ht="12.75" x14ac:dyDescent="0.2">
      <c r="A38" s="90">
        <v>3</v>
      </c>
      <c r="B38" s="90">
        <v>61</v>
      </c>
      <c r="C38" s="4">
        <v>6</v>
      </c>
      <c r="D38" s="101">
        <f t="shared" si="3"/>
        <v>147550</v>
      </c>
      <c r="E38" s="56">
        <v>9000550</v>
      </c>
      <c r="F38" s="116">
        <v>1</v>
      </c>
      <c r="G38" s="5">
        <f t="shared" si="2"/>
        <v>9000550</v>
      </c>
    </row>
    <row r="39" spans="1:7" ht="12.75" x14ac:dyDescent="0.2">
      <c r="A39" s="90">
        <v>3</v>
      </c>
      <c r="B39" s="90">
        <v>61</v>
      </c>
      <c r="C39" s="4">
        <v>6</v>
      </c>
      <c r="D39" s="101">
        <f t="shared" si="3"/>
        <v>160300</v>
      </c>
      <c r="E39" s="56">
        <v>9778300</v>
      </c>
      <c r="F39" s="116">
        <v>1</v>
      </c>
      <c r="G39" s="5">
        <f t="shared" si="2"/>
        <v>9778300</v>
      </c>
    </row>
    <row r="40" spans="1:7" ht="12.75" x14ac:dyDescent="0.2">
      <c r="A40" s="90">
        <v>3</v>
      </c>
      <c r="B40" s="90">
        <v>61</v>
      </c>
      <c r="C40" s="4">
        <v>7</v>
      </c>
      <c r="D40" s="101">
        <f t="shared" si="3"/>
        <v>157300</v>
      </c>
      <c r="E40" s="56">
        <v>9595300</v>
      </c>
      <c r="F40" s="116">
        <v>1</v>
      </c>
      <c r="G40" s="5">
        <f t="shared" si="2"/>
        <v>9595300</v>
      </c>
    </row>
    <row r="41" spans="1:7" ht="12.75" x14ac:dyDescent="0.2">
      <c r="A41" s="90">
        <v>3</v>
      </c>
      <c r="B41" s="90">
        <v>61</v>
      </c>
      <c r="C41" s="4">
        <v>8</v>
      </c>
      <c r="D41" s="101">
        <f t="shared" si="3"/>
        <v>160300</v>
      </c>
      <c r="E41" s="56">
        <v>9778300</v>
      </c>
      <c r="F41" s="116">
        <v>1</v>
      </c>
      <c r="G41" s="5">
        <f t="shared" si="2"/>
        <v>9778300</v>
      </c>
    </row>
    <row r="42" spans="1:7" ht="12.75" x14ac:dyDescent="0.2">
      <c r="A42" s="90">
        <v>3</v>
      </c>
      <c r="B42" s="90">
        <v>61</v>
      </c>
      <c r="C42" s="4">
        <v>9</v>
      </c>
      <c r="D42" s="101">
        <f t="shared" si="3"/>
        <v>150150</v>
      </c>
      <c r="E42" s="56">
        <v>9159150</v>
      </c>
      <c r="F42" s="116">
        <v>1</v>
      </c>
      <c r="G42" s="5">
        <f t="shared" si="2"/>
        <v>9159150</v>
      </c>
    </row>
    <row r="43" spans="1:7" ht="12.75" x14ac:dyDescent="0.2">
      <c r="A43" s="90">
        <v>3</v>
      </c>
      <c r="B43" s="90">
        <v>61</v>
      </c>
      <c r="C43" s="4">
        <v>9</v>
      </c>
      <c r="D43" s="101">
        <f t="shared" si="3"/>
        <v>160300</v>
      </c>
      <c r="E43" s="56">
        <v>9778300</v>
      </c>
      <c r="F43" s="116">
        <v>1</v>
      </c>
      <c r="G43" s="5">
        <f t="shared" si="2"/>
        <v>9778300</v>
      </c>
    </row>
    <row r="44" spans="1:7" ht="12.75" x14ac:dyDescent="0.2">
      <c r="A44" s="90">
        <v>3</v>
      </c>
      <c r="B44" s="90">
        <v>61</v>
      </c>
      <c r="C44" s="4">
        <v>10</v>
      </c>
      <c r="D44" s="101">
        <f t="shared" si="3"/>
        <v>150150</v>
      </c>
      <c r="E44" s="56">
        <v>9159150</v>
      </c>
      <c r="F44" s="116">
        <v>1</v>
      </c>
      <c r="G44" s="5">
        <f t="shared" si="2"/>
        <v>9159150</v>
      </c>
    </row>
    <row r="45" spans="1:7" ht="12.75" x14ac:dyDescent="0.2">
      <c r="A45" s="90">
        <v>3</v>
      </c>
      <c r="B45" s="90">
        <v>61</v>
      </c>
      <c r="C45" s="4">
        <v>10</v>
      </c>
      <c r="D45" s="101">
        <f t="shared" si="3"/>
        <v>165300</v>
      </c>
      <c r="E45" s="56">
        <v>10083300</v>
      </c>
      <c r="F45" s="116">
        <v>1</v>
      </c>
      <c r="G45" s="5">
        <f t="shared" si="2"/>
        <v>10083300</v>
      </c>
    </row>
    <row r="46" spans="1:7" ht="12.75" x14ac:dyDescent="0.2">
      <c r="A46" s="90">
        <v>3</v>
      </c>
      <c r="B46" s="90">
        <v>61</v>
      </c>
      <c r="C46" s="4">
        <v>11</v>
      </c>
      <c r="D46" s="101">
        <f t="shared" si="3"/>
        <v>165300</v>
      </c>
      <c r="E46" s="56">
        <v>10083300</v>
      </c>
      <c r="F46" s="116">
        <v>1</v>
      </c>
      <c r="G46" s="5">
        <f t="shared" si="2"/>
        <v>10083300</v>
      </c>
    </row>
    <row r="47" spans="1:7" ht="12.75" x14ac:dyDescent="0.2">
      <c r="A47" s="90">
        <v>3</v>
      </c>
      <c r="B47" s="90">
        <v>61</v>
      </c>
      <c r="C47" s="4">
        <v>12</v>
      </c>
      <c r="D47" s="101">
        <f t="shared" si="3"/>
        <v>168300</v>
      </c>
      <c r="E47" s="56">
        <v>10266300</v>
      </c>
      <c r="F47" s="116">
        <v>1</v>
      </c>
      <c r="G47" s="5">
        <f t="shared" si="2"/>
        <v>10266300</v>
      </c>
    </row>
    <row r="48" spans="1:7" ht="12.75" x14ac:dyDescent="0.2">
      <c r="A48" s="90">
        <v>3</v>
      </c>
      <c r="B48" s="90">
        <v>61.1</v>
      </c>
      <c r="C48" s="4">
        <v>2</v>
      </c>
      <c r="D48" s="101">
        <f t="shared" si="3"/>
        <v>155300</v>
      </c>
      <c r="E48" s="56">
        <v>9488830</v>
      </c>
      <c r="F48" s="116">
        <v>1</v>
      </c>
      <c r="G48" s="5">
        <f t="shared" si="2"/>
        <v>9488830</v>
      </c>
    </row>
    <row r="49" spans="1:7" ht="12.75" x14ac:dyDescent="0.2">
      <c r="A49" s="90">
        <v>3</v>
      </c>
      <c r="B49" s="90">
        <v>61.1</v>
      </c>
      <c r="C49" s="4">
        <v>3</v>
      </c>
      <c r="D49" s="101">
        <f t="shared" si="3"/>
        <v>155300</v>
      </c>
      <c r="E49" s="56">
        <v>9488830</v>
      </c>
      <c r="F49" s="116">
        <v>1</v>
      </c>
      <c r="G49" s="5">
        <f t="shared" si="2"/>
        <v>9488830</v>
      </c>
    </row>
    <row r="50" spans="1:7" ht="12.75" x14ac:dyDescent="0.2">
      <c r="A50" s="90">
        <v>3</v>
      </c>
      <c r="B50" s="90">
        <v>61.1</v>
      </c>
      <c r="C50" s="4">
        <v>4</v>
      </c>
      <c r="D50" s="101">
        <f t="shared" si="3"/>
        <v>155300</v>
      </c>
      <c r="E50" s="56">
        <v>9488830</v>
      </c>
      <c r="F50" s="116">
        <v>1</v>
      </c>
      <c r="G50" s="5">
        <f t="shared" si="2"/>
        <v>9488830</v>
      </c>
    </row>
    <row r="51" spans="1:7" ht="12.75" x14ac:dyDescent="0.2">
      <c r="A51" s="90">
        <v>3</v>
      </c>
      <c r="B51" s="90">
        <v>61.1</v>
      </c>
      <c r="C51" s="4">
        <v>5</v>
      </c>
      <c r="D51" s="101">
        <f t="shared" si="3"/>
        <v>155300</v>
      </c>
      <c r="E51" s="56">
        <v>9488830</v>
      </c>
      <c r="F51" s="116">
        <v>1</v>
      </c>
      <c r="G51" s="5">
        <f t="shared" si="2"/>
        <v>9488830</v>
      </c>
    </row>
    <row r="52" spans="1:7" ht="12.75" x14ac:dyDescent="0.2">
      <c r="A52" s="90">
        <v>3</v>
      </c>
      <c r="B52" s="90">
        <v>62</v>
      </c>
      <c r="C52" s="4">
        <v>6</v>
      </c>
      <c r="D52" s="101">
        <f t="shared" si="3"/>
        <v>160300</v>
      </c>
      <c r="E52" s="56">
        <v>9938600</v>
      </c>
      <c r="F52" s="116">
        <v>1</v>
      </c>
      <c r="G52" s="5">
        <f t="shared" si="2"/>
        <v>9938600</v>
      </c>
    </row>
    <row r="53" spans="1:7" ht="12.75" x14ac:dyDescent="0.2">
      <c r="A53" s="90">
        <v>3</v>
      </c>
      <c r="B53" s="90">
        <v>62</v>
      </c>
      <c r="C53" s="4">
        <v>7</v>
      </c>
      <c r="D53" s="101">
        <f t="shared" si="3"/>
        <v>160300</v>
      </c>
      <c r="E53" s="56">
        <v>9938600</v>
      </c>
      <c r="F53" s="116">
        <v>1</v>
      </c>
      <c r="G53" s="5">
        <f t="shared" si="2"/>
        <v>9938600</v>
      </c>
    </row>
    <row r="54" spans="1:7" ht="12.75" x14ac:dyDescent="0.2">
      <c r="A54" s="90">
        <v>3</v>
      </c>
      <c r="B54" s="90">
        <v>62</v>
      </c>
      <c r="C54" s="4">
        <v>8</v>
      </c>
      <c r="D54" s="101">
        <f t="shared" si="3"/>
        <v>160300</v>
      </c>
      <c r="E54" s="56">
        <v>9938600</v>
      </c>
      <c r="F54" s="116">
        <v>1</v>
      </c>
      <c r="G54" s="5">
        <f t="shared" si="2"/>
        <v>9938600</v>
      </c>
    </row>
    <row r="55" spans="1:7" ht="12.75" x14ac:dyDescent="0.2">
      <c r="A55" s="90">
        <v>3</v>
      </c>
      <c r="B55" s="90">
        <v>62</v>
      </c>
      <c r="C55" s="4">
        <v>9</v>
      </c>
      <c r="D55" s="101">
        <f t="shared" si="3"/>
        <v>160300</v>
      </c>
      <c r="E55" s="56">
        <v>9938600</v>
      </c>
      <c r="F55" s="116">
        <v>1</v>
      </c>
      <c r="G55" s="5">
        <f t="shared" si="2"/>
        <v>9938600</v>
      </c>
    </row>
    <row r="56" spans="1:7" ht="12.75" x14ac:dyDescent="0.2">
      <c r="A56" s="90">
        <v>3</v>
      </c>
      <c r="B56" s="90">
        <v>62</v>
      </c>
      <c r="C56" s="4">
        <v>10</v>
      </c>
      <c r="D56" s="101">
        <f t="shared" si="3"/>
        <v>165300</v>
      </c>
      <c r="E56" s="56">
        <v>10248600</v>
      </c>
      <c r="F56" s="116">
        <v>1</v>
      </c>
      <c r="G56" s="5">
        <f t="shared" si="2"/>
        <v>10248600</v>
      </c>
    </row>
    <row r="57" spans="1:7" ht="12.75" x14ac:dyDescent="0.2">
      <c r="A57" s="90">
        <v>3</v>
      </c>
      <c r="B57" s="90">
        <v>62</v>
      </c>
      <c r="C57" s="4">
        <v>11</v>
      </c>
      <c r="D57" s="101">
        <f t="shared" si="3"/>
        <v>165300</v>
      </c>
      <c r="E57" s="56">
        <v>10248600</v>
      </c>
      <c r="F57" s="116">
        <v>1</v>
      </c>
      <c r="G57" s="5">
        <f t="shared" si="2"/>
        <v>10248600</v>
      </c>
    </row>
    <row r="58" spans="1:7" ht="12.75" x14ac:dyDescent="0.2">
      <c r="A58" s="90">
        <v>3</v>
      </c>
      <c r="B58" s="90">
        <v>62</v>
      </c>
      <c r="C58" s="4">
        <v>12</v>
      </c>
      <c r="D58" s="101">
        <f t="shared" si="3"/>
        <v>168300</v>
      </c>
      <c r="E58" s="56">
        <v>10434600</v>
      </c>
      <c r="F58" s="116">
        <v>1</v>
      </c>
      <c r="G58" s="5">
        <f t="shared" si="2"/>
        <v>10434600</v>
      </c>
    </row>
    <row r="59" spans="1:7" ht="12.75" x14ac:dyDescent="0.2">
      <c r="A59" s="90">
        <v>3</v>
      </c>
      <c r="B59" s="90">
        <v>62.1</v>
      </c>
      <c r="C59" s="4">
        <v>2</v>
      </c>
      <c r="D59" s="101">
        <f t="shared" si="3"/>
        <v>155300</v>
      </c>
      <c r="E59" s="56">
        <v>9644130</v>
      </c>
      <c r="F59" s="116">
        <v>1</v>
      </c>
      <c r="G59" s="5">
        <f t="shared" si="2"/>
        <v>9644130</v>
      </c>
    </row>
    <row r="60" spans="1:7" ht="12.75" x14ac:dyDescent="0.2">
      <c r="A60" s="90">
        <v>3</v>
      </c>
      <c r="B60" s="90">
        <v>62.1</v>
      </c>
      <c r="C60" s="4">
        <v>3</v>
      </c>
      <c r="D60" s="101">
        <f t="shared" si="3"/>
        <v>155300</v>
      </c>
      <c r="E60" s="56">
        <v>9644130</v>
      </c>
      <c r="F60" s="116">
        <v>1</v>
      </c>
      <c r="G60" s="5">
        <f t="shared" si="2"/>
        <v>9644130</v>
      </c>
    </row>
    <row r="61" spans="1:7" ht="12.75" x14ac:dyDescent="0.2">
      <c r="A61" s="90">
        <v>3</v>
      </c>
      <c r="B61" s="90">
        <v>62.1</v>
      </c>
      <c r="C61" s="4">
        <v>4</v>
      </c>
      <c r="D61" s="101">
        <f t="shared" si="3"/>
        <v>155300</v>
      </c>
      <c r="E61" s="56">
        <v>9644130</v>
      </c>
      <c r="F61" s="116">
        <v>1</v>
      </c>
      <c r="G61" s="5">
        <f t="shared" si="2"/>
        <v>9644130</v>
      </c>
    </row>
    <row r="62" spans="1:7" ht="12.75" x14ac:dyDescent="0.2">
      <c r="A62" s="90">
        <v>3</v>
      </c>
      <c r="B62" s="90">
        <v>62.1</v>
      </c>
      <c r="C62" s="4">
        <v>5</v>
      </c>
      <c r="D62" s="101">
        <f t="shared" si="3"/>
        <v>155300</v>
      </c>
      <c r="E62" s="56">
        <v>9644130</v>
      </c>
      <c r="F62" s="116">
        <v>1</v>
      </c>
      <c r="G62" s="5">
        <f t="shared" si="2"/>
        <v>9644130</v>
      </c>
    </row>
    <row r="63" spans="1:7" ht="12.75" x14ac:dyDescent="0.2">
      <c r="A63" s="90">
        <v>3</v>
      </c>
      <c r="B63" s="90">
        <v>72.2</v>
      </c>
      <c r="C63" s="4">
        <v>10</v>
      </c>
      <c r="D63" s="101">
        <f t="shared" si="3"/>
        <v>145300</v>
      </c>
      <c r="E63" s="56">
        <v>10490660</v>
      </c>
      <c r="F63" s="116">
        <v>1</v>
      </c>
      <c r="G63" s="5">
        <f t="shared" ref="G63:G72" si="4">F63*E63</f>
        <v>10490660</v>
      </c>
    </row>
    <row r="64" spans="1:7" ht="12.75" x14ac:dyDescent="0.2">
      <c r="A64" s="90">
        <v>3</v>
      </c>
      <c r="B64" s="90">
        <v>72.2</v>
      </c>
      <c r="C64" s="4">
        <v>12</v>
      </c>
      <c r="D64" s="101">
        <f t="shared" si="3"/>
        <v>148300</v>
      </c>
      <c r="E64" s="56">
        <v>10707260</v>
      </c>
      <c r="F64" s="116">
        <v>1</v>
      </c>
      <c r="G64" s="5">
        <f t="shared" si="4"/>
        <v>10707260</v>
      </c>
    </row>
    <row r="65" spans="1:8" ht="12.75" x14ac:dyDescent="0.2">
      <c r="A65" s="90">
        <v>3</v>
      </c>
      <c r="B65" s="90">
        <v>73.8</v>
      </c>
      <c r="C65" s="4">
        <v>6</v>
      </c>
      <c r="D65" s="101">
        <f t="shared" si="3"/>
        <v>140300</v>
      </c>
      <c r="E65" s="56">
        <v>10354140</v>
      </c>
      <c r="F65" s="116">
        <v>1</v>
      </c>
      <c r="G65" s="5">
        <f t="shared" si="4"/>
        <v>10354140</v>
      </c>
    </row>
    <row r="66" spans="1:8" ht="12.75" x14ac:dyDescent="0.2">
      <c r="A66" s="90">
        <v>3</v>
      </c>
      <c r="B66" s="90">
        <v>73.8</v>
      </c>
      <c r="C66" s="4">
        <v>7</v>
      </c>
      <c r="D66" s="36">
        <f t="shared" ref="D66:D72" si="5">E66/B66</f>
        <v>137300</v>
      </c>
      <c r="E66" s="56">
        <v>10132740</v>
      </c>
      <c r="F66" s="116">
        <v>1</v>
      </c>
      <c r="G66" s="5">
        <f t="shared" si="4"/>
        <v>10132740</v>
      </c>
    </row>
    <row r="67" spans="1:8" ht="12.75" x14ac:dyDescent="0.2">
      <c r="A67" s="90">
        <v>3</v>
      </c>
      <c r="B67" s="90">
        <v>73.8</v>
      </c>
      <c r="C67" s="4">
        <v>8</v>
      </c>
      <c r="D67" s="4">
        <f t="shared" si="5"/>
        <v>140300</v>
      </c>
      <c r="E67" s="3">
        <v>10354140</v>
      </c>
      <c r="F67" s="117">
        <v>1</v>
      </c>
      <c r="G67" s="5">
        <f t="shared" si="4"/>
        <v>10354140</v>
      </c>
    </row>
    <row r="68" spans="1:8" ht="12.75" x14ac:dyDescent="0.2">
      <c r="A68" s="90">
        <v>3</v>
      </c>
      <c r="B68" s="90">
        <v>74</v>
      </c>
      <c r="C68" s="4">
        <v>2</v>
      </c>
      <c r="D68" s="4">
        <f t="shared" si="5"/>
        <v>135300</v>
      </c>
      <c r="E68" s="3">
        <v>10012200</v>
      </c>
      <c r="F68" s="117">
        <v>1</v>
      </c>
      <c r="G68" s="5">
        <f t="shared" si="4"/>
        <v>10012200</v>
      </c>
    </row>
    <row r="69" spans="1:8" ht="12.75" x14ac:dyDescent="0.2">
      <c r="A69" s="90">
        <v>3</v>
      </c>
      <c r="B69" s="90">
        <v>74</v>
      </c>
      <c r="C69" s="4">
        <v>3</v>
      </c>
      <c r="D69" s="4">
        <f t="shared" si="5"/>
        <v>135300</v>
      </c>
      <c r="E69" s="3">
        <v>10012200</v>
      </c>
      <c r="F69" s="117">
        <v>1</v>
      </c>
      <c r="G69" s="5">
        <f t="shared" si="4"/>
        <v>10012200</v>
      </c>
    </row>
    <row r="70" spans="1:8" ht="12.75" x14ac:dyDescent="0.2">
      <c r="A70" s="90">
        <v>3</v>
      </c>
      <c r="B70" s="90">
        <v>74</v>
      </c>
      <c r="C70" s="4">
        <v>4</v>
      </c>
      <c r="D70" s="4">
        <f t="shared" si="5"/>
        <v>135300</v>
      </c>
      <c r="E70" s="3">
        <v>10012200</v>
      </c>
      <c r="F70" s="117">
        <v>1</v>
      </c>
      <c r="G70" s="5">
        <f t="shared" si="4"/>
        <v>10012200</v>
      </c>
    </row>
    <row r="71" spans="1:8" ht="12.75" x14ac:dyDescent="0.2">
      <c r="A71" s="90">
        <v>4</v>
      </c>
      <c r="B71" s="90">
        <v>88.1</v>
      </c>
      <c r="C71" s="4">
        <v>11</v>
      </c>
      <c r="D71" s="4">
        <f t="shared" si="5"/>
        <v>140300</v>
      </c>
      <c r="E71" s="3">
        <v>12360430</v>
      </c>
      <c r="F71" s="117">
        <v>1</v>
      </c>
      <c r="G71" s="5">
        <f t="shared" si="4"/>
        <v>12360430</v>
      </c>
    </row>
    <row r="72" spans="1:8" ht="12.75" x14ac:dyDescent="0.2">
      <c r="A72" s="103">
        <v>4</v>
      </c>
      <c r="B72" s="103">
        <v>88.1</v>
      </c>
      <c r="C72" s="104">
        <v>12</v>
      </c>
      <c r="D72" s="104">
        <f t="shared" si="5"/>
        <v>143300</v>
      </c>
      <c r="E72" s="105">
        <v>12624730</v>
      </c>
      <c r="F72" s="106">
        <v>1</v>
      </c>
      <c r="G72" s="5">
        <f t="shared" si="4"/>
        <v>12624730</v>
      </c>
    </row>
    <row r="73" spans="1:8" ht="12.75" x14ac:dyDescent="0.2">
      <c r="A73" s="293" t="s">
        <v>96</v>
      </c>
      <c r="B73" s="294"/>
      <c r="C73" s="294"/>
      <c r="D73" s="294"/>
      <c r="E73" s="294"/>
      <c r="F73" s="294"/>
    </row>
    <row r="74" spans="1:8" ht="12.75" x14ac:dyDescent="0.2">
      <c r="A74" s="10" t="s">
        <v>6</v>
      </c>
      <c r="B74" s="10" t="s">
        <v>7</v>
      </c>
      <c r="C74" s="2" t="s">
        <v>10</v>
      </c>
      <c r="D74" s="2" t="s">
        <v>35</v>
      </c>
      <c r="E74" s="2" t="s">
        <v>12</v>
      </c>
      <c r="F74" s="39" t="s">
        <v>38</v>
      </c>
    </row>
    <row r="75" spans="1:8" ht="12.75" x14ac:dyDescent="0.2">
      <c r="A75" s="90">
        <v>1</v>
      </c>
      <c r="B75" s="90">
        <v>36.1</v>
      </c>
      <c r="C75" s="90">
        <v>5</v>
      </c>
      <c r="D75" s="90">
        <f t="shared" ref="D75:D119" si="6">E75/B75</f>
        <v>117300</v>
      </c>
      <c r="E75" s="91">
        <v>4234530</v>
      </c>
      <c r="F75" s="90">
        <v>1</v>
      </c>
      <c r="G75" s="5">
        <f t="shared" ref="G75:G135" si="7">F75*E75</f>
        <v>4234530</v>
      </c>
      <c r="H75" s="163"/>
    </row>
    <row r="76" spans="1:8" ht="12.75" x14ac:dyDescent="0.2">
      <c r="A76" s="90">
        <v>1</v>
      </c>
      <c r="B76" s="90">
        <v>36.1</v>
      </c>
      <c r="C76" s="90">
        <v>6</v>
      </c>
      <c r="D76" s="90">
        <f t="shared" si="6"/>
        <v>122300</v>
      </c>
      <c r="E76" s="91">
        <v>4415030</v>
      </c>
      <c r="F76" s="90">
        <v>1</v>
      </c>
      <c r="G76" s="5">
        <f t="shared" si="7"/>
        <v>4415030</v>
      </c>
      <c r="H76" s="163"/>
    </row>
    <row r="77" spans="1:8" ht="12.75" x14ac:dyDescent="0.2">
      <c r="A77" s="90">
        <v>1</v>
      </c>
      <c r="B77" s="90">
        <v>36.1</v>
      </c>
      <c r="C77" s="90">
        <v>7</v>
      </c>
      <c r="D77" s="90">
        <f t="shared" si="6"/>
        <v>129300</v>
      </c>
      <c r="E77" s="91">
        <v>4667730</v>
      </c>
      <c r="F77" s="90">
        <v>1</v>
      </c>
      <c r="G77" s="5">
        <f t="shared" si="7"/>
        <v>4667730</v>
      </c>
      <c r="H77" s="163"/>
    </row>
    <row r="78" spans="1:8" ht="12.75" x14ac:dyDescent="0.2">
      <c r="A78" s="90">
        <v>1</v>
      </c>
      <c r="B78" s="90">
        <v>36.1</v>
      </c>
      <c r="C78" s="90">
        <v>8</v>
      </c>
      <c r="D78" s="90">
        <f t="shared" si="6"/>
        <v>129300</v>
      </c>
      <c r="E78" s="91">
        <v>4667730</v>
      </c>
      <c r="F78" s="90">
        <v>1</v>
      </c>
      <c r="G78" s="5">
        <f t="shared" si="7"/>
        <v>4667730</v>
      </c>
      <c r="H78" s="163"/>
    </row>
    <row r="79" spans="1:8" ht="12.75" x14ac:dyDescent="0.2">
      <c r="A79" s="90">
        <v>1</v>
      </c>
      <c r="B79" s="90">
        <v>36.1</v>
      </c>
      <c r="C79" s="90">
        <v>9</v>
      </c>
      <c r="D79" s="90"/>
      <c r="E79" s="91"/>
      <c r="F79" s="90">
        <v>1</v>
      </c>
      <c r="G79" s="5">
        <f t="shared" si="7"/>
        <v>0</v>
      </c>
      <c r="H79" s="163"/>
    </row>
    <row r="80" spans="1:8" ht="12.75" x14ac:dyDescent="0.2">
      <c r="A80" s="90">
        <v>1</v>
      </c>
      <c r="B80" s="90">
        <v>37.5</v>
      </c>
      <c r="C80" s="90">
        <v>2</v>
      </c>
      <c r="D80" s="90">
        <f t="shared" si="6"/>
        <v>122300</v>
      </c>
      <c r="E80" s="91">
        <v>4586250</v>
      </c>
      <c r="F80" s="90">
        <v>1</v>
      </c>
      <c r="G80" s="5">
        <f t="shared" si="7"/>
        <v>4586250</v>
      </c>
      <c r="H80" s="163"/>
    </row>
    <row r="81" spans="1:8" ht="12.75" x14ac:dyDescent="0.2">
      <c r="A81" s="90">
        <v>1</v>
      </c>
      <c r="B81" s="90">
        <v>37.5</v>
      </c>
      <c r="C81" s="90">
        <v>3</v>
      </c>
      <c r="D81" s="90">
        <f t="shared" si="6"/>
        <v>122300</v>
      </c>
      <c r="E81" s="91">
        <v>4586250</v>
      </c>
      <c r="F81" s="90">
        <v>1</v>
      </c>
      <c r="G81" s="5">
        <f t="shared" si="7"/>
        <v>4586250</v>
      </c>
      <c r="H81" s="163"/>
    </row>
    <row r="82" spans="1:8" ht="12.75" x14ac:dyDescent="0.2">
      <c r="A82" s="90">
        <v>1</v>
      </c>
      <c r="B82" s="90">
        <v>37.5</v>
      </c>
      <c r="C82" s="90">
        <v>4</v>
      </c>
      <c r="D82" s="90">
        <f t="shared" si="6"/>
        <v>122300</v>
      </c>
      <c r="E82" s="91">
        <v>4586250</v>
      </c>
      <c r="F82" s="90">
        <v>1</v>
      </c>
      <c r="G82" s="5">
        <f t="shared" si="7"/>
        <v>4586250</v>
      </c>
      <c r="H82" s="163"/>
    </row>
    <row r="83" spans="1:8" ht="12.75" x14ac:dyDescent="0.2">
      <c r="A83" s="90">
        <v>1</v>
      </c>
      <c r="B83" s="90">
        <v>37.5</v>
      </c>
      <c r="C83" s="90">
        <v>5</v>
      </c>
      <c r="D83" s="90"/>
      <c r="E83" s="91"/>
      <c r="F83" s="90">
        <v>1</v>
      </c>
      <c r="G83" s="5">
        <f t="shared" si="7"/>
        <v>0</v>
      </c>
      <c r="H83" s="163"/>
    </row>
    <row r="84" spans="1:8" ht="12.75" x14ac:dyDescent="0.2">
      <c r="A84" s="90">
        <v>1</v>
      </c>
      <c r="B84" s="90">
        <v>37.5</v>
      </c>
      <c r="C84" s="90">
        <v>6</v>
      </c>
      <c r="D84" s="90">
        <f>E84/B84</f>
        <v>121300</v>
      </c>
      <c r="E84" s="91">
        <v>4548750</v>
      </c>
      <c r="F84" s="90">
        <v>1</v>
      </c>
      <c r="G84" s="5">
        <f t="shared" si="7"/>
        <v>4548750</v>
      </c>
      <c r="H84" s="163"/>
    </row>
    <row r="85" spans="1:8" ht="12.75" x14ac:dyDescent="0.2">
      <c r="A85" s="90">
        <v>1</v>
      </c>
      <c r="B85" s="90">
        <v>37.5</v>
      </c>
      <c r="C85" s="90">
        <v>7</v>
      </c>
      <c r="D85" s="90">
        <f t="shared" ref="D85:D88" si="8">E85/B85</f>
        <v>129300</v>
      </c>
      <c r="E85" s="91">
        <v>4848750</v>
      </c>
      <c r="F85" s="90">
        <v>1</v>
      </c>
      <c r="G85" s="5">
        <f t="shared" si="7"/>
        <v>4848750</v>
      </c>
      <c r="H85" s="163"/>
    </row>
    <row r="86" spans="1:8" ht="12.75" x14ac:dyDescent="0.2">
      <c r="A86" s="90">
        <v>1</v>
      </c>
      <c r="B86" s="90">
        <v>37.5</v>
      </c>
      <c r="C86" s="90">
        <v>8</v>
      </c>
      <c r="D86" s="90"/>
      <c r="E86" s="91"/>
      <c r="F86" s="90">
        <v>1</v>
      </c>
      <c r="G86" s="5">
        <f t="shared" si="7"/>
        <v>0</v>
      </c>
      <c r="H86" s="163"/>
    </row>
    <row r="87" spans="1:8" ht="12.75" x14ac:dyDescent="0.2">
      <c r="A87" s="90">
        <v>1</v>
      </c>
      <c r="B87" s="90">
        <v>37.5</v>
      </c>
      <c r="C87" s="90">
        <v>9</v>
      </c>
      <c r="D87" s="90"/>
      <c r="E87" s="91"/>
      <c r="F87" s="90">
        <v>1</v>
      </c>
      <c r="G87" s="5">
        <f t="shared" si="7"/>
        <v>0</v>
      </c>
      <c r="H87" s="163"/>
    </row>
    <row r="88" spans="1:8" ht="12.75" x14ac:dyDescent="0.2">
      <c r="A88" s="90">
        <v>1</v>
      </c>
      <c r="B88" s="90">
        <v>37.5</v>
      </c>
      <c r="C88" s="90">
        <v>10</v>
      </c>
      <c r="D88" s="90">
        <f t="shared" si="8"/>
        <v>129300</v>
      </c>
      <c r="E88" s="91">
        <v>4848750</v>
      </c>
      <c r="F88" s="90">
        <v>1</v>
      </c>
      <c r="G88" s="5">
        <f t="shared" si="7"/>
        <v>4848750</v>
      </c>
      <c r="H88" s="163"/>
    </row>
    <row r="89" spans="1:8" ht="12.75" x14ac:dyDescent="0.2">
      <c r="A89" s="90">
        <v>1</v>
      </c>
      <c r="B89" s="90">
        <v>38.4</v>
      </c>
      <c r="C89" s="90">
        <v>2</v>
      </c>
      <c r="D89" s="90">
        <f t="shared" si="6"/>
        <v>121300</v>
      </c>
      <c r="E89" s="91">
        <v>4657920</v>
      </c>
      <c r="F89" s="90">
        <v>1</v>
      </c>
      <c r="G89" s="5">
        <f t="shared" si="7"/>
        <v>4657920</v>
      </c>
      <c r="H89" s="163"/>
    </row>
    <row r="90" spans="1:8" ht="12.75" x14ac:dyDescent="0.2">
      <c r="A90" s="90">
        <v>1</v>
      </c>
      <c r="B90" s="90">
        <v>38.4</v>
      </c>
      <c r="C90" s="90">
        <v>3</v>
      </c>
      <c r="D90" s="90">
        <f t="shared" si="6"/>
        <v>121300</v>
      </c>
      <c r="E90" s="91">
        <v>4657920</v>
      </c>
      <c r="F90" s="90">
        <v>1</v>
      </c>
      <c r="G90" s="5">
        <f t="shared" si="7"/>
        <v>4657920</v>
      </c>
      <c r="H90" s="163"/>
    </row>
    <row r="91" spans="1:8" ht="12.75" x14ac:dyDescent="0.2">
      <c r="A91" s="90">
        <v>1</v>
      </c>
      <c r="B91" s="90">
        <v>38.4</v>
      </c>
      <c r="C91" s="90">
        <v>4</v>
      </c>
      <c r="D91" s="90">
        <f t="shared" si="6"/>
        <v>121300</v>
      </c>
      <c r="E91" s="91">
        <v>4657920</v>
      </c>
      <c r="F91" s="90">
        <v>1</v>
      </c>
      <c r="G91" s="5">
        <f t="shared" si="7"/>
        <v>4657920</v>
      </c>
      <c r="H91" s="163"/>
    </row>
    <row r="92" spans="1:8" ht="12.75" x14ac:dyDescent="0.2">
      <c r="A92" s="90">
        <v>1</v>
      </c>
      <c r="B92" s="90">
        <v>38.4</v>
      </c>
      <c r="C92" s="90">
        <v>5</v>
      </c>
      <c r="D92" s="90">
        <f t="shared" si="6"/>
        <v>121300</v>
      </c>
      <c r="E92" s="91">
        <v>4657920</v>
      </c>
      <c r="F92" s="90">
        <v>1</v>
      </c>
      <c r="G92" s="5">
        <f t="shared" si="7"/>
        <v>4657920</v>
      </c>
      <c r="H92" s="163"/>
    </row>
    <row r="93" spans="1:8" ht="12.75" x14ac:dyDescent="0.2">
      <c r="A93" s="90">
        <v>1</v>
      </c>
      <c r="B93" s="90">
        <v>38.4</v>
      </c>
      <c r="C93" s="90">
        <v>7</v>
      </c>
      <c r="D93" s="90">
        <f t="shared" si="6"/>
        <v>110300</v>
      </c>
      <c r="E93" s="91">
        <v>4235520</v>
      </c>
      <c r="F93" s="90">
        <v>1</v>
      </c>
      <c r="G93" s="5">
        <f t="shared" si="7"/>
        <v>4235520</v>
      </c>
      <c r="H93" s="163"/>
    </row>
    <row r="94" spans="1:8" ht="12.75" x14ac:dyDescent="0.2">
      <c r="A94" s="90">
        <v>1</v>
      </c>
      <c r="B94" s="90">
        <v>38.4</v>
      </c>
      <c r="C94" s="90">
        <v>8</v>
      </c>
      <c r="D94" s="90"/>
      <c r="E94" s="91"/>
      <c r="F94" s="90">
        <v>1</v>
      </c>
      <c r="G94" s="5">
        <f t="shared" si="7"/>
        <v>0</v>
      </c>
      <c r="H94" s="163"/>
    </row>
    <row r="95" spans="1:8" ht="12.75" x14ac:dyDescent="0.2">
      <c r="A95" s="90">
        <v>1</v>
      </c>
      <c r="B95" s="90">
        <v>38.4</v>
      </c>
      <c r="C95" s="90">
        <v>9</v>
      </c>
      <c r="D95" s="90"/>
      <c r="E95" s="91"/>
      <c r="F95" s="90">
        <v>1</v>
      </c>
      <c r="G95" s="5">
        <f t="shared" si="7"/>
        <v>0</v>
      </c>
      <c r="H95" s="163"/>
    </row>
    <row r="96" spans="1:8" ht="12.75" x14ac:dyDescent="0.2">
      <c r="A96" s="90">
        <v>1</v>
      </c>
      <c r="B96" s="90">
        <v>38.4</v>
      </c>
      <c r="C96" s="90">
        <v>10</v>
      </c>
      <c r="D96" s="90"/>
      <c r="E96" s="91"/>
      <c r="F96" s="90">
        <v>1</v>
      </c>
      <c r="G96" s="5">
        <f t="shared" si="7"/>
        <v>0</v>
      </c>
      <c r="H96" s="163"/>
    </row>
    <row r="97" spans="1:7" ht="12.75" x14ac:dyDescent="0.2">
      <c r="A97" s="90">
        <v>1</v>
      </c>
      <c r="B97" s="90">
        <v>46.2</v>
      </c>
      <c r="C97" s="4">
        <v>1</v>
      </c>
      <c r="D97" s="90">
        <f t="shared" si="6"/>
        <v>105300</v>
      </c>
      <c r="E97" s="3">
        <v>4864860</v>
      </c>
      <c r="F97" s="5">
        <v>1</v>
      </c>
      <c r="G97" s="5">
        <f t="shared" si="7"/>
        <v>4864860</v>
      </c>
    </row>
    <row r="98" spans="1:7" ht="12.75" x14ac:dyDescent="0.2">
      <c r="A98" s="90">
        <v>2</v>
      </c>
      <c r="B98" s="90">
        <v>53.1</v>
      </c>
      <c r="C98" s="4">
        <v>2</v>
      </c>
      <c r="D98" s="90">
        <f t="shared" si="6"/>
        <v>120300</v>
      </c>
      <c r="E98" s="3">
        <v>6387930</v>
      </c>
      <c r="F98" s="5">
        <v>1</v>
      </c>
      <c r="G98" s="5">
        <f t="shared" si="7"/>
        <v>6387930</v>
      </c>
    </row>
    <row r="99" spans="1:7" ht="12.75" x14ac:dyDescent="0.2">
      <c r="A99" s="90">
        <v>2</v>
      </c>
      <c r="B99" s="90">
        <v>53.1</v>
      </c>
      <c r="C99" s="4">
        <v>3</v>
      </c>
      <c r="D99" s="90">
        <f t="shared" si="6"/>
        <v>120300</v>
      </c>
      <c r="E99" s="3">
        <v>6387930</v>
      </c>
      <c r="F99" s="5">
        <v>1</v>
      </c>
      <c r="G99" s="5">
        <f t="shared" si="7"/>
        <v>6387930</v>
      </c>
    </row>
    <row r="100" spans="1:7" ht="12.75" x14ac:dyDescent="0.2">
      <c r="A100" s="90">
        <v>2</v>
      </c>
      <c r="B100" s="90">
        <v>53.1</v>
      </c>
      <c r="C100" s="4">
        <v>4</v>
      </c>
      <c r="D100" s="90">
        <f t="shared" si="6"/>
        <v>115300</v>
      </c>
      <c r="E100" s="3">
        <v>6122430</v>
      </c>
      <c r="F100" s="5">
        <v>1</v>
      </c>
      <c r="G100" s="5">
        <f t="shared" si="7"/>
        <v>6122430</v>
      </c>
    </row>
    <row r="101" spans="1:7" ht="12.75" x14ac:dyDescent="0.2">
      <c r="A101" s="90">
        <v>2</v>
      </c>
      <c r="B101" s="90">
        <v>53.1</v>
      </c>
      <c r="C101" s="4">
        <v>5</v>
      </c>
      <c r="D101" s="90">
        <f t="shared" si="6"/>
        <v>120300</v>
      </c>
      <c r="E101" s="3">
        <v>6387930</v>
      </c>
      <c r="F101" s="5">
        <v>1</v>
      </c>
      <c r="G101" s="5">
        <f t="shared" si="7"/>
        <v>6387930</v>
      </c>
    </row>
    <row r="102" spans="1:7" ht="12.75" x14ac:dyDescent="0.2">
      <c r="A102" s="90">
        <v>2</v>
      </c>
      <c r="B102" s="90">
        <v>53.1</v>
      </c>
      <c r="C102" s="4">
        <v>6</v>
      </c>
      <c r="D102" s="90">
        <f t="shared" si="6"/>
        <v>120300</v>
      </c>
      <c r="E102" s="3">
        <v>6387930</v>
      </c>
      <c r="F102" s="5">
        <v>1</v>
      </c>
      <c r="G102" s="5">
        <f t="shared" si="7"/>
        <v>6387930</v>
      </c>
    </row>
    <row r="103" spans="1:7" ht="12.75" x14ac:dyDescent="0.2">
      <c r="A103" s="90">
        <v>2</v>
      </c>
      <c r="B103" s="90">
        <v>53.1</v>
      </c>
      <c r="C103" s="4">
        <v>8</v>
      </c>
      <c r="D103" s="90">
        <f t="shared" si="6"/>
        <v>127300</v>
      </c>
      <c r="E103" s="3">
        <v>6759630</v>
      </c>
      <c r="F103" s="5">
        <v>1</v>
      </c>
      <c r="G103" s="5">
        <f t="shared" si="7"/>
        <v>6759630</v>
      </c>
    </row>
    <row r="104" spans="1:7" ht="12.75" x14ac:dyDescent="0.2">
      <c r="A104" s="90">
        <v>2</v>
      </c>
      <c r="B104" s="90">
        <v>53.1</v>
      </c>
      <c r="C104" s="4">
        <v>9</v>
      </c>
      <c r="D104" s="90">
        <f t="shared" si="6"/>
        <v>127300</v>
      </c>
      <c r="E104" s="3">
        <v>6759630</v>
      </c>
      <c r="F104" s="5">
        <v>1</v>
      </c>
      <c r="G104" s="5">
        <f t="shared" si="7"/>
        <v>6759630</v>
      </c>
    </row>
    <row r="105" spans="1:7" ht="12.75" x14ac:dyDescent="0.2">
      <c r="A105" s="90">
        <v>2</v>
      </c>
      <c r="B105" s="90">
        <v>53.1</v>
      </c>
      <c r="C105" s="4">
        <v>10</v>
      </c>
      <c r="D105" s="90">
        <f t="shared" si="6"/>
        <v>127300</v>
      </c>
      <c r="E105" s="3">
        <v>6759630</v>
      </c>
      <c r="F105" s="5">
        <v>1</v>
      </c>
      <c r="G105" s="5">
        <f t="shared" si="7"/>
        <v>6759630</v>
      </c>
    </row>
    <row r="106" spans="1:7" ht="12.75" x14ac:dyDescent="0.2">
      <c r="A106" s="90">
        <v>2</v>
      </c>
      <c r="B106" s="90">
        <v>55.4</v>
      </c>
      <c r="C106" s="4">
        <v>2</v>
      </c>
      <c r="D106" s="90">
        <f t="shared" si="6"/>
        <v>118300</v>
      </c>
      <c r="E106" s="3">
        <v>6553820</v>
      </c>
      <c r="F106" s="5">
        <v>1</v>
      </c>
      <c r="G106" s="5">
        <f t="shared" si="7"/>
        <v>6553820</v>
      </c>
    </row>
    <row r="107" spans="1:7" ht="12.75" x14ac:dyDescent="0.2">
      <c r="A107" s="90">
        <v>2</v>
      </c>
      <c r="B107" s="90">
        <v>55.4</v>
      </c>
      <c r="C107" s="4">
        <v>4</v>
      </c>
      <c r="D107" s="90">
        <f t="shared" si="6"/>
        <v>118300</v>
      </c>
      <c r="E107" s="3">
        <v>6553820</v>
      </c>
      <c r="F107" s="5">
        <v>1</v>
      </c>
      <c r="G107" s="5">
        <f t="shared" si="7"/>
        <v>6553820</v>
      </c>
    </row>
    <row r="108" spans="1:7" ht="12.75" x14ac:dyDescent="0.2">
      <c r="A108" s="90">
        <v>2</v>
      </c>
      <c r="B108" s="90">
        <v>55.4</v>
      </c>
      <c r="C108" s="4">
        <v>3</v>
      </c>
      <c r="D108" s="90">
        <f t="shared" si="6"/>
        <v>118300</v>
      </c>
      <c r="E108" s="3">
        <v>6553820</v>
      </c>
      <c r="F108" s="5">
        <v>1</v>
      </c>
      <c r="G108" s="5">
        <f t="shared" si="7"/>
        <v>6553820</v>
      </c>
    </row>
    <row r="109" spans="1:7" ht="12.75" x14ac:dyDescent="0.2">
      <c r="A109" s="90">
        <v>2</v>
      </c>
      <c r="B109" s="90">
        <v>55.4</v>
      </c>
      <c r="C109" s="4">
        <v>5</v>
      </c>
      <c r="D109" s="90">
        <f t="shared" si="6"/>
        <v>118300</v>
      </c>
      <c r="E109" s="3">
        <v>6553820</v>
      </c>
      <c r="F109" s="5">
        <v>1</v>
      </c>
      <c r="G109" s="5">
        <f t="shared" si="7"/>
        <v>6553820</v>
      </c>
    </row>
    <row r="110" spans="1:7" ht="12.75" x14ac:dyDescent="0.2">
      <c r="A110" s="90">
        <v>2</v>
      </c>
      <c r="B110" s="90">
        <v>55.4</v>
      </c>
      <c r="C110" s="4">
        <v>6</v>
      </c>
      <c r="D110" s="90">
        <f t="shared" si="6"/>
        <v>118300</v>
      </c>
      <c r="E110" s="3">
        <v>6553820</v>
      </c>
      <c r="F110" s="5">
        <v>1</v>
      </c>
      <c r="G110" s="5">
        <f t="shared" si="7"/>
        <v>6553820</v>
      </c>
    </row>
    <row r="111" spans="1:7" ht="12.75" x14ac:dyDescent="0.2">
      <c r="A111" s="90">
        <v>2</v>
      </c>
      <c r="B111" s="90">
        <v>55.4</v>
      </c>
      <c r="C111" s="4">
        <v>7</v>
      </c>
      <c r="D111" s="90">
        <f t="shared" si="6"/>
        <v>125300</v>
      </c>
      <c r="E111" s="3">
        <v>6941620</v>
      </c>
      <c r="F111" s="5">
        <v>1</v>
      </c>
      <c r="G111" s="5">
        <f t="shared" si="7"/>
        <v>6941620</v>
      </c>
    </row>
    <row r="112" spans="1:7" ht="12.75" x14ac:dyDescent="0.2">
      <c r="A112" s="90">
        <v>2</v>
      </c>
      <c r="B112" s="90">
        <v>55.4</v>
      </c>
      <c r="C112" s="4">
        <v>8</v>
      </c>
      <c r="D112" s="90">
        <f t="shared" si="6"/>
        <v>125300</v>
      </c>
      <c r="E112" s="3">
        <v>6941620</v>
      </c>
      <c r="F112" s="5">
        <v>1</v>
      </c>
      <c r="G112" s="5">
        <f t="shared" si="7"/>
        <v>6941620</v>
      </c>
    </row>
    <row r="113" spans="1:7" ht="12.75" x14ac:dyDescent="0.2">
      <c r="A113" s="90">
        <v>2</v>
      </c>
      <c r="B113" s="90">
        <v>55.4</v>
      </c>
      <c r="C113" s="4">
        <v>9</v>
      </c>
      <c r="D113" s="90">
        <f t="shared" si="6"/>
        <v>125300</v>
      </c>
      <c r="E113" s="3">
        <v>6941620</v>
      </c>
      <c r="F113" s="5">
        <v>1</v>
      </c>
      <c r="G113" s="5">
        <f t="shared" si="7"/>
        <v>6941620</v>
      </c>
    </row>
    <row r="114" spans="1:7" ht="12.75" x14ac:dyDescent="0.2">
      <c r="A114" s="90">
        <v>2</v>
      </c>
      <c r="B114" s="90">
        <v>60.1</v>
      </c>
      <c r="C114" s="4">
        <v>2</v>
      </c>
      <c r="D114" s="90">
        <f t="shared" si="6"/>
        <v>107300</v>
      </c>
      <c r="E114" s="3">
        <v>6448730</v>
      </c>
      <c r="F114" s="5">
        <v>1</v>
      </c>
      <c r="G114" s="5">
        <f t="shared" si="7"/>
        <v>6448730</v>
      </c>
    </row>
    <row r="115" spans="1:7" ht="12.75" x14ac:dyDescent="0.2">
      <c r="A115" s="90">
        <v>2</v>
      </c>
      <c r="B115" s="90">
        <v>60.1</v>
      </c>
      <c r="C115" s="4">
        <v>2</v>
      </c>
      <c r="D115" s="90">
        <f t="shared" si="6"/>
        <v>115300</v>
      </c>
      <c r="E115" s="3">
        <v>6929530</v>
      </c>
      <c r="F115" s="5">
        <v>1</v>
      </c>
      <c r="G115" s="5">
        <f t="shared" si="7"/>
        <v>6929530</v>
      </c>
    </row>
    <row r="116" spans="1:7" ht="12.75" x14ac:dyDescent="0.2">
      <c r="A116" s="90">
        <v>2</v>
      </c>
      <c r="B116" s="90">
        <v>60.1</v>
      </c>
      <c r="C116" s="4">
        <v>3</v>
      </c>
      <c r="D116" s="90">
        <f t="shared" si="6"/>
        <v>115300</v>
      </c>
      <c r="E116" s="3">
        <v>6929530</v>
      </c>
      <c r="F116" s="5">
        <v>1</v>
      </c>
      <c r="G116" s="5">
        <f t="shared" si="7"/>
        <v>6929530</v>
      </c>
    </row>
    <row r="117" spans="1:7" ht="12.75" x14ac:dyDescent="0.2">
      <c r="A117" s="90">
        <v>2</v>
      </c>
      <c r="B117" s="90">
        <v>60.1</v>
      </c>
      <c r="C117" s="4">
        <v>4</v>
      </c>
      <c r="D117" s="90">
        <f t="shared" si="6"/>
        <v>115300</v>
      </c>
      <c r="E117" s="3">
        <v>6929530</v>
      </c>
      <c r="F117" s="5">
        <v>1</v>
      </c>
      <c r="G117" s="5">
        <f t="shared" si="7"/>
        <v>6929530</v>
      </c>
    </row>
    <row r="118" spans="1:7" ht="12.75" x14ac:dyDescent="0.2">
      <c r="A118" s="90">
        <v>2</v>
      </c>
      <c r="B118" s="90">
        <v>60.1</v>
      </c>
      <c r="C118" s="4">
        <v>5</v>
      </c>
      <c r="D118" s="90">
        <f t="shared" si="6"/>
        <v>115300</v>
      </c>
      <c r="E118" s="3">
        <v>6929530</v>
      </c>
      <c r="F118" s="5">
        <v>1</v>
      </c>
      <c r="G118" s="5">
        <f t="shared" si="7"/>
        <v>6929530</v>
      </c>
    </row>
    <row r="119" spans="1:7" ht="12.75" x14ac:dyDescent="0.2">
      <c r="A119" s="90">
        <v>2</v>
      </c>
      <c r="B119" s="90">
        <v>60.1</v>
      </c>
      <c r="C119" s="4">
        <v>6</v>
      </c>
      <c r="D119" s="90">
        <f t="shared" si="6"/>
        <v>115300</v>
      </c>
      <c r="E119" s="3">
        <v>6929530</v>
      </c>
      <c r="F119" s="5">
        <v>1</v>
      </c>
      <c r="G119" s="5">
        <f t="shared" si="7"/>
        <v>6929530</v>
      </c>
    </row>
    <row r="120" spans="1:7" ht="12.75" x14ac:dyDescent="0.2">
      <c r="A120" s="90">
        <v>2</v>
      </c>
      <c r="B120" s="90">
        <v>60.1</v>
      </c>
      <c r="C120" s="4">
        <v>7</v>
      </c>
      <c r="D120" s="90">
        <f t="shared" ref="D120:D147" si="9">E120/B120</f>
        <v>122300</v>
      </c>
      <c r="E120" s="3">
        <v>7350230</v>
      </c>
      <c r="F120" s="5">
        <v>1</v>
      </c>
      <c r="G120" s="5">
        <f t="shared" si="7"/>
        <v>7350230</v>
      </c>
    </row>
    <row r="121" spans="1:7" ht="12.75" x14ac:dyDescent="0.2">
      <c r="A121" s="90">
        <v>2</v>
      </c>
      <c r="B121" s="90">
        <v>60.1</v>
      </c>
      <c r="C121" s="4">
        <v>8</v>
      </c>
      <c r="D121" s="90">
        <f t="shared" si="9"/>
        <v>122300</v>
      </c>
      <c r="E121" s="3">
        <v>7350230</v>
      </c>
      <c r="F121" s="5">
        <v>1</v>
      </c>
      <c r="G121" s="5">
        <f t="shared" si="7"/>
        <v>7350230</v>
      </c>
    </row>
    <row r="122" spans="1:7" ht="12.75" x14ac:dyDescent="0.2">
      <c r="A122" s="90">
        <v>2</v>
      </c>
      <c r="B122" s="90">
        <v>60.1</v>
      </c>
      <c r="C122" s="4">
        <v>9</v>
      </c>
      <c r="D122" s="90">
        <f t="shared" si="9"/>
        <v>122300</v>
      </c>
      <c r="E122" s="3">
        <v>7350230</v>
      </c>
      <c r="F122" s="5">
        <v>1</v>
      </c>
      <c r="G122" s="5">
        <f t="shared" si="7"/>
        <v>7350230</v>
      </c>
    </row>
    <row r="123" spans="1:7" ht="12.75" x14ac:dyDescent="0.2">
      <c r="A123" s="90">
        <v>2</v>
      </c>
      <c r="B123" s="90">
        <v>60.1</v>
      </c>
      <c r="C123" s="4">
        <v>10</v>
      </c>
      <c r="D123" s="90">
        <f t="shared" si="9"/>
        <v>122300</v>
      </c>
      <c r="E123" s="3">
        <v>7350230</v>
      </c>
      <c r="F123" s="5">
        <v>1</v>
      </c>
      <c r="G123" s="5">
        <f t="shared" si="7"/>
        <v>7350230</v>
      </c>
    </row>
    <row r="124" spans="1:7" ht="12.75" x14ac:dyDescent="0.2">
      <c r="A124" s="90">
        <v>2</v>
      </c>
      <c r="B124" s="90">
        <v>65</v>
      </c>
      <c r="C124" s="4">
        <v>2</v>
      </c>
      <c r="D124" s="90">
        <f t="shared" si="9"/>
        <v>113300</v>
      </c>
      <c r="E124" s="3">
        <v>7364500</v>
      </c>
      <c r="F124" s="5">
        <v>1</v>
      </c>
      <c r="G124" s="5">
        <f t="shared" si="7"/>
        <v>7364500</v>
      </c>
    </row>
    <row r="125" spans="1:7" ht="12.75" x14ac:dyDescent="0.2">
      <c r="A125" s="90">
        <v>2</v>
      </c>
      <c r="B125" s="90">
        <v>65</v>
      </c>
      <c r="C125" s="4">
        <v>2</v>
      </c>
      <c r="D125" s="90">
        <f t="shared" si="9"/>
        <v>108300</v>
      </c>
      <c r="E125" s="3">
        <v>7039500</v>
      </c>
      <c r="F125" s="5">
        <v>1</v>
      </c>
      <c r="G125" s="5">
        <f t="shared" si="7"/>
        <v>7039500</v>
      </c>
    </row>
    <row r="126" spans="1:7" ht="12.75" x14ac:dyDescent="0.2">
      <c r="A126" s="90">
        <v>2</v>
      </c>
      <c r="B126" s="90">
        <v>65</v>
      </c>
      <c r="C126" s="4">
        <v>3</v>
      </c>
      <c r="D126" s="90">
        <f t="shared" si="9"/>
        <v>113300</v>
      </c>
      <c r="E126" s="3">
        <v>7364500</v>
      </c>
      <c r="F126" s="5">
        <v>1</v>
      </c>
      <c r="G126" s="5">
        <f t="shared" si="7"/>
        <v>7364500</v>
      </c>
    </row>
    <row r="127" spans="1:7" ht="12.75" x14ac:dyDescent="0.2">
      <c r="A127" s="90">
        <v>2</v>
      </c>
      <c r="B127" s="90">
        <v>65</v>
      </c>
      <c r="C127" s="4">
        <v>3</v>
      </c>
      <c r="D127" s="90">
        <f t="shared" si="9"/>
        <v>108300</v>
      </c>
      <c r="E127" s="3">
        <v>7039500</v>
      </c>
      <c r="F127" s="5">
        <v>1</v>
      </c>
      <c r="G127" s="5">
        <f t="shared" si="7"/>
        <v>7039500</v>
      </c>
    </row>
    <row r="128" spans="1:7" ht="12.75" x14ac:dyDescent="0.2">
      <c r="A128" s="90">
        <v>2</v>
      </c>
      <c r="B128" s="90">
        <v>65</v>
      </c>
      <c r="C128" s="4">
        <v>4</v>
      </c>
      <c r="D128" s="90">
        <f t="shared" si="9"/>
        <v>113300</v>
      </c>
      <c r="E128" s="3">
        <v>7364500</v>
      </c>
      <c r="F128" s="5">
        <v>1</v>
      </c>
      <c r="G128" s="5">
        <f t="shared" si="7"/>
        <v>7364500</v>
      </c>
    </row>
    <row r="129" spans="1:7" ht="12.75" x14ac:dyDescent="0.2">
      <c r="A129" s="90">
        <v>2</v>
      </c>
      <c r="B129" s="90">
        <v>65</v>
      </c>
      <c r="C129" s="4">
        <v>5</v>
      </c>
      <c r="D129" s="90">
        <f t="shared" si="9"/>
        <v>113300</v>
      </c>
      <c r="E129" s="3">
        <v>7364500</v>
      </c>
      <c r="F129" s="5">
        <v>1</v>
      </c>
      <c r="G129" s="5">
        <f t="shared" si="7"/>
        <v>7364500</v>
      </c>
    </row>
    <row r="130" spans="1:7" ht="12.75" x14ac:dyDescent="0.2">
      <c r="A130" s="90">
        <v>2</v>
      </c>
      <c r="B130" s="90">
        <v>65</v>
      </c>
      <c r="C130" s="4">
        <v>5</v>
      </c>
      <c r="D130" s="90">
        <f t="shared" si="9"/>
        <v>108300</v>
      </c>
      <c r="E130" s="3">
        <v>7039500</v>
      </c>
      <c r="F130" s="5">
        <v>1</v>
      </c>
      <c r="G130" s="5">
        <f t="shared" si="7"/>
        <v>7039500</v>
      </c>
    </row>
    <row r="131" spans="1:7" ht="12.75" x14ac:dyDescent="0.2">
      <c r="A131" s="90">
        <v>2</v>
      </c>
      <c r="B131" s="90">
        <v>65</v>
      </c>
      <c r="C131" s="4">
        <v>6</v>
      </c>
      <c r="D131" s="90">
        <f t="shared" si="9"/>
        <v>113300</v>
      </c>
      <c r="E131" s="3">
        <v>7364500</v>
      </c>
      <c r="F131" s="5">
        <v>1</v>
      </c>
      <c r="G131" s="5">
        <f t="shared" si="7"/>
        <v>7364500</v>
      </c>
    </row>
    <row r="132" spans="1:7" ht="12.75" x14ac:dyDescent="0.2">
      <c r="A132" s="90">
        <v>2</v>
      </c>
      <c r="B132" s="90">
        <v>65</v>
      </c>
      <c r="C132" s="4">
        <v>7</v>
      </c>
      <c r="D132" s="90">
        <f t="shared" si="9"/>
        <v>120300</v>
      </c>
      <c r="E132" s="3">
        <v>7819500</v>
      </c>
      <c r="F132" s="5">
        <v>1</v>
      </c>
      <c r="G132" s="5">
        <f t="shared" si="7"/>
        <v>7819500</v>
      </c>
    </row>
    <row r="133" spans="1:7" ht="12.75" x14ac:dyDescent="0.2">
      <c r="A133" s="90">
        <v>2</v>
      </c>
      <c r="B133" s="90">
        <v>65</v>
      </c>
      <c r="C133" s="4">
        <v>7</v>
      </c>
      <c r="D133" s="90">
        <f t="shared" si="9"/>
        <v>114300</v>
      </c>
      <c r="E133" s="3">
        <v>7429500</v>
      </c>
      <c r="F133" s="5">
        <v>1</v>
      </c>
      <c r="G133" s="5">
        <f t="shared" si="7"/>
        <v>7429500</v>
      </c>
    </row>
    <row r="134" spans="1:7" ht="12.75" x14ac:dyDescent="0.2">
      <c r="A134" s="90">
        <v>2</v>
      </c>
      <c r="B134" s="90">
        <v>65</v>
      </c>
      <c r="C134" s="4">
        <v>8</v>
      </c>
      <c r="D134" s="90">
        <f t="shared" si="9"/>
        <v>120300</v>
      </c>
      <c r="E134" s="3">
        <v>7819500</v>
      </c>
      <c r="F134" s="5">
        <v>1</v>
      </c>
      <c r="G134" s="5">
        <f t="shared" si="7"/>
        <v>7819500</v>
      </c>
    </row>
    <row r="135" spans="1:7" ht="12.75" x14ac:dyDescent="0.2">
      <c r="A135" s="90">
        <v>2</v>
      </c>
      <c r="B135" s="90">
        <v>65</v>
      </c>
      <c r="C135" s="4">
        <v>8</v>
      </c>
      <c r="D135" s="90">
        <f t="shared" si="9"/>
        <v>114300</v>
      </c>
      <c r="E135" s="3">
        <v>7429500</v>
      </c>
      <c r="F135" s="5">
        <v>1</v>
      </c>
      <c r="G135" s="5">
        <f t="shared" si="7"/>
        <v>7429500</v>
      </c>
    </row>
    <row r="136" spans="1:7" ht="12.75" x14ac:dyDescent="0.2">
      <c r="A136" s="90">
        <v>2</v>
      </c>
      <c r="B136" s="90">
        <v>65</v>
      </c>
      <c r="C136" s="4">
        <v>9</v>
      </c>
      <c r="D136" s="90">
        <f t="shared" si="9"/>
        <v>104300</v>
      </c>
      <c r="E136" s="3">
        <v>6779500</v>
      </c>
      <c r="F136" s="5">
        <v>1</v>
      </c>
      <c r="G136" s="5">
        <f t="shared" ref="G136:G147" si="10">F136*E136</f>
        <v>6779500</v>
      </c>
    </row>
    <row r="137" spans="1:7" ht="12.75" x14ac:dyDescent="0.2">
      <c r="A137" s="90">
        <v>2</v>
      </c>
      <c r="B137" s="90">
        <v>65</v>
      </c>
      <c r="C137" s="4">
        <v>9</v>
      </c>
      <c r="D137" s="90">
        <f t="shared" si="9"/>
        <v>120300</v>
      </c>
      <c r="E137" s="3">
        <v>7819500</v>
      </c>
      <c r="F137" s="5">
        <v>1</v>
      </c>
      <c r="G137" s="5">
        <f t="shared" si="10"/>
        <v>7819500</v>
      </c>
    </row>
    <row r="138" spans="1:7" ht="12.75" x14ac:dyDescent="0.2">
      <c r="A138" s="90">
        <v>2</v>
      </c>
      <c r="B138" s="90">
        <v>65</v>
      </c>
      <c r="C138" s="4">
        <v>10</v>
      </c>
      <c r="D138" s="90">
        <f t="shared" si="9"/>
        <v>120300</v>
      </c>
      <c r="E138" s="3">
        <v>7819500</v>
      </c>
      <c r="F138" s="5">
        <v>1</v>
      </c>
      <c r="G138" s="5">
        <f t="shared" si="10"/>
        <v>7819500</v>
      </c>
    </row>
    <row r="139" spans="1:7" ht="12.75" x14ac:dyDescent="0.2">
      <c r="A139" s="90">
        <v>3</v>
      </c>
      <c r="B139" s="90">
        <v>67.8</v>
      </c>
      <c r="C139" s="4">
        <v>1</v>
      </c>
      <c r="D139" s="90">
        <f t="shared" si="9"/>
        <v>104300</v>
      </c>
      <c r="E139" s="3">
        <v>7071540</v>
      </c>
      <c r="F139" s="5">
        <v>1</v>
      </c>
      <c r="G139" s="5">
        <f t="shared" si="10"/>
        <v>7071540</v>
      </c>
    </row>
    <row r="140" spans="1:7" ht="12.75" x14ac:dyDescent="0.2">
      <c r="A140" s="90">
        <v>3</v>
      </c>
      <c r="B140" s="90">
        <v>69.5</v>
      </c>
      <c r="C140" s="4">
        <v>1</v>
      </c>
      <c r="D140" s="90">
        <f t="shared" si="9"/>
        <v>95300</v>
      </c>
      <c r="E140" s="3">
        <v>6623350</v>
      </c>
      <c r="F140" s="5">
        <v>1</v>
      </c>
      <c r="G140" s="5">
        <f t="shared" si="10"/>
        <v>6623350</v>
      </c>
    </row>
    <row r="141" spans="1:7" ht="12.75" x14ac:dyDescent="0.2">
      <c r="A141" s="90">
        <v>3</v>
      </c>
      <c r="B141" s="90">
        <v>71.8</v>
      </c>
      <c r="C141" s="4">
        <v>2</v>
      </c>
      <c r="D141" s="90">
        <f t="shared" si="9"/>
        <v>110300</v>
      </c>
      <c r="E141" s="3">
        <v>7919540</v>
      </c>
      <c r="F141" s="5">
        <v>1</v>
      </c>
      <c r="G141" s="5">
        <f t="shared" si="10"/>
        <v>7919540</v>
      </c>
    </row>
    <row r="142" spans="1:7" ht="12.75" x14ac:dyDescent="0.2">
      <c r="A142" s="90">
        <v>3</v>
      </c>
      <c r="B142" s="90">
        <v>71.8</v>
      </c>
      <c r="C142" s="90">
        <v>3</v>
      </c>
      <c r="D142" s="90">
        <f t="shared" si="9"/>
        <v>110300</v>
      </c>
      <c r="E142" s="3">
        <v>7919540</v>
      </c>
      <c r="F142" s="5">
        <v>1</v>
      </c>
      <c r="G142" s="5">
        <f t="shared" si="10"/>
        <v>7919540</v>
      </c>
    </row>
    <row r="143" spans="1:7" ht="12.75" x14ac:dyDescent="0.2">
      <c r="A143" s="90">
        <v>3</v>
      </c>
      <c r="B143" s="90">
        <v>71.8</v>
      </c>
      <c r="C143" s="90">
        <v>5</v>
      </c>
      <c r="D143" s="90">
        <f t="shared" si="9"/>
        <v>110300</v>
      </c>
      <c r="E143" s="3">
        <v>7919540</v>
      </c>
      <c r="F143" s="5">
        <v>1</v>
      </c>
      <c r="G143" s="5">
        <f t="shared" si="10"/>
        <v>7919540</v>
      </c>
    </row>
    <row r="144" spans="1:7" ht="12.75" x14ac:dyDescent="0.2">
      <c r="A144" s="90">
        <v>3</v>
      </c>
      <c r="B144" s="90">
        <v>71.8</v>
      </c>
      <c r="C144" s="90">
        <v>6</v>
      </c>
      <c r="D144" s="90">
        <f t="shared" si="9"/>
        <v>110300</v>
      </c>
      <c r="E144" s="3">
        <v>7919540</v>
      </c>
      <c r="F144" s="5">
        <v>1</v>
      </c>
      <c r="G144" s="5">
        <f t="shared" si="10"/>
        <v>7919540</v>
      </c>
    </row>
    <row r="145" spans="1:8" ht="12.75" x14ac:dyDescent="0.2">
      <c r="A145" s="90">
        <v>3</v>
      </c>
      <c r="B145" s="90">
        <v>71.8</v>
      </c>
      <c r="C145" s="4">
        <v>7</v>
      </c>
      <c r="D145" s="90">
        <f t="shared" si="9"/>
        <v>117300</v>
      </c>
      <c r="E145" s="3">
        <v>8422140</v>
      </c>
      <c r="F145" s="5">
        <v>1</v>
      </c>
      <c r="G145" s="5">
        <f t="shared" si="10"/>
        <v>8422140</v>
      </c>
    </row>
    <row r="146" spans="1:8" ht="12.75" x14ac:dyDescent="0.2">
      <c r="A146" s="90">
        <v>3</v>
      </c>
      <c r="B146" s="90">
        <v>71.8</v>
      </c>
      <c r="C146" s="4">
        <v>9</v>
      </c>
      <c r="D146" s="90">
        <f t="shared" si="9"/>
        <v>117300</v>
      </c>
      <c r="E146" s="3">
        <v>8422140</v>
      </c>
      <c r="F146" s="5">
        <v>1</v>
      </c>
      <c r="G146" s="5">
        <f t="shared" si="10"/>
        <v>8422140</v>
      </c>
    </row>
    <row r="147" spans="1:8" ht="12.75" x14ac:dyDescent="0.2">
      <c r="A147" s="90">
        <v>3</v>
      </c>
      <c r="B147" s="90">
        <v>71.8</v>
      </c>
      <c r="C147" s="4">
        <v>9</v>
      </c>
      <c r="D147" s="90">
        <f t="shared" si="9"/>
        <v>107300</v>
      </c>
      <c r="E147" s="3">
        <v>7704140</v>
      </c>
      <c r="F147" s="5">
        <v>1</v>
      </c>
      <c r="G147" s="5">
        <f t="shared" si="10"/>
        <v>7704140</v>
      </c>
    </row>
    <row r="148" spans="1:8" ht="12.75" x14ac:dyDescent="0.2">
      <c r="A148" s="293" t="s">
        <v>116</v>
      </c>
      <c r="B148" s="294"/>
      <c r="C148" s="294"/>
      <c r="D148" s="294"/>
      <c r="E148" s="294"/>
      <c r="F148" s="294"/>
    </row>
    <row r="149" spans="1:8" ht="12.75" x14ac:dyDescent="0.2">
      <c r="A149" s="10" t="s">
        <v>6</v>
      </c>
      <c r="B149" s="10" t="s">
        <v>7</v>
      </c>
      <c r="C149" s="2" t="s">
        <v>10</v>
      </c>
      <c r="D149" s="2" t="s">
        <v>35</v>
      </c>
      <c r="E149" s="2" t="s">
        <v>12</v>
      </c>
      <c r="F149" s="39" t="s">
        <v>38</v>
      </c>
    </row>
    <row r="150" spans="1:8" ht="12.75" x14ac:dyDescent="0.2">
      <c r="A150" s="90">
        <v>1</v>
      </c>
      <c r="B150" s="90">
        <v>39.200000000000003</v>
      </c>
      <c r="C150" s="4">
        <v>10</v>
      </c>
      <c r="D150" s="4">
        <f t="shared" ref="D150:D152" si="11">E150/B150</f>
        <v>193300</v>
      </c>
      <c r="E150" s="3">
        <v>7577360</v>
      </c>
      <c r="F150" s="5">
        <v>1</v>
      </c>
      <c r="G150" s="5">
        <f t="shared" ref="G150:G183" si="12">F150*E150</f>
        <v>7577360</v>
      </c>
      <c r="H150" s="163"/>
    </row>
    <row r="151" spans="1:8" ht="12.75" x14ac:dyDescent="0.2">
      <c r="A151" s="90">
        <v>1</v>
      </c>
      <c r="B151" s="90">
        <v>39.4</v>
      </c>
      <c r="C151" s="4">
        <v>2</v>
      </c>
      <c r="D151" s="4">
        <f t="shared" si="11"/>
        <v>183300</v>
      </c>
      <c r="E151" s="3">
        <v>7222020</v>
      </c>
      <c r="F151" s="5">
        <v>1</v>
      </c>
      <c r="G151" s="5">
        <f t="shared" si="12"/>
        <v>7222020</v>
      </c>
      <c r="H151" s="163"/>
    </row>
    <row r="152" spans="1:8" ht="12.75" x14ac:dyDescent="0.2">
      <c r="A152" s="90">
        <v>1</v>
      </c>
      <c r="B152" s="90">
        <v>40.9</v>
      </c>
      <c r="C152" s="4">
        <v>3</v>
      </c>
      <c r="D152" s="4">
        <f t="shared" si="11"/>
        <v>183300</v>
      </c>
      <c r="E152" s="3">
        <v>7496970</v>
      </c>
      <c r="F152" s="5">
        <v>1</v>
      </c>
      <c r="G152" s="5">
        <f t="shared" si="12"/>
        <v>7496970</v>
      </c>
    </row>
    <row r="153" spans="1:8" ht="12.75" x14ac:dyDescent="0.2">
      <c r="A153" s="90">
        <v>1</v>
      </c>
      <c r="B153" s="90">
        <v>40.9</v>
      </c>
      <c r="C153" s="4">
        <v>4</v>
      </c>
      <c r="D153" s="4">
        <f>E153/B153</f>
        <v>183300</v>
      </c>
      <c r="E153" s="3">
        <v>7496970</v>
      </c>
      <c r="F153" s="5">
        <v>1</v>
      </c>
      <c r="G153" s="5">
        <f t="shared" si="12"/>
        <v>7496970</v>
      </c>
    </row>
    <row r="154" spans="1:8" ht="12.75" x14ac:dyDescent="0.2">
      <c r="A154" s="90">
        <v>1</v>
      </c>
      <c r="B154" s="90">
        <v>40.9</v>
      </c>
      <c r="C154" s="4">
        <v>8</v>
      </c>
      <c r="D154" s="4">
        <f t="shared" ref="D154:D182" si="13">E154/B154</f>
        <v>188300</v>
      </c>
      <c r="E154" s="3">
        <v>7701470</v>
      </c>
      <c r="F154" s="5">
        <v>1</v>
      </c>
      <c r="G154" s="5">
        <f t="shared" si="12"/>
        <v>7701470</v>
      </c>
    </row>
    <row r="155" spans="1:8" ht="12.75" x14ac:dyDescent="0.2">
      <c r="A155" s="90">
        <v>1</v>
      </c>
      <c r="B155" s="90">
        <v>40.9</v>
      </c>
      <c r="C155" s="4">
        <v>9</v>
      </c>
      <c r="D155" s="4">
        <f t="shared" si="13"/>
        <v>188300</v>
      </c>
      <c r="E155" s="3">
        <v>7701470</v>
      </c>
      <c r="F155" s="5">
        <v>1</v>
      </c>
      <c r="G155" s="5">
        <f t="shared" si="12"/>
        <v>7701470</v>
      </c>
    </row>
    <row r="156" spans="1:8" ht="12.75" x14ac:dyDescent="0.2">
      <c r="A156" s="90">
        <v>3</v>
      </c>
      <c r="B156" s="90">
        <v>54.8</v>
      </c>
      <c r="C156" s="4">
        <v>3</v>
      </c>
      <c r="D156" s="4">
        <f t="shared" si="13"/>
        <v>183300</v>
      </c>
      <c r="E156" s="3">
        <v>10044840</v>
      </c>
      <c r="F156" s="5">
        <v>1</v>
      </c>
      <c r="G156" s="5">
        <f t="shared" si="12"/>
        <v>10044840</v>
      </c>
    </row>
    <row r="157" spans="1:8" ht="12.75" x14ac:dyDescent="0.2">
      <c r="A157" s="90">
        <v>3</v>
      </c>
      <c r="B157" s="90">
        <v>54.8</v>
      </c>
      <c r="C157" s="4">
        <v>8</v>
      </c>
      <c r="D157" s="4">
        <f t="shared" si="13"/>
        <v>188300</v>
      </c>
      <c r="E157" s="3">
        <v>10318840</v>
      </c>
      <c r="F157" s="5">
        <v>1</v>
      </c>
      <c r="G157" s="5">
        <f t="shared" si="12"/>
        <v>10318840</v>
      </c>
    </row>
    <row r="158" spans="1:8" ht="12.75" x14ac:dyDescent="0.2">
      <c r="A158" s="90">
        <v>3</v>
      </c>
      <c r="B158" s="90">
        <v>54.8</v>
      </c>
      <c r="C158" s="4">
        <v>9</v>
      </c>
      <c r="D158" s="4">
        <f t="shared" si="13"/>
        <v>188300</v>
      </c>
      <c r="E158" s="3">
        <v>10318840</v>
      </c>
      <c r="F158" s="5">
        <v>1</v>
      </c>
      <c r="G158" s="5">
        <f t="shared" si="12"/>
        <v>10318840</v>
      </c>
    </row>
    <row r="159" spans="1:8" ht="12.75" x14ac:dyDescent="0.2">
      <c r="A159" s="90">
        <v>3</v>
      </c>
      <c r="B159" s="90">
        <v>54.8</v>
      </c>
      <c r="C159" s="4">
        <v>10</v>
      </c>
      <c r="D159" s="4">
        <f t="shared" si="13"/>
        <v>193300</v>
      </c>
      <c r="E159" s="3">
        <v>10592840</v>
      </c>
      <c r="F159" s="5">
        <v>1</v>
      </c>
      <c r="G159" s="5">
        <f t="shared" si="12"/>
        <v>10592840</v>
      </c>
    </row>
    <row r="160" spans="1:8" ht="12.75" x14ac:dyDescent="0.2">
      <c r="A160" s="90">
        <v>3</v>
      </c>
      <c r="B160" s="90">
        <v>54.8</v>
      </c>
      <c r="C160" s="4">
        <v>11</v>
      </c>
      <c r="D160" s="4">
        <f t="shared" si="13"/>
        <v>193300</v>
      </c>
      <c r="E160" s="3">
        <v>10592840</v>
      </c>
      <c r="F160" s="5">
        <v>1</v>
      </c>
      <c r="G160" s="5">
        <f t="shared" si="12"/>
        <v>10592840</v>
      </c>
    </row>
    <row r="161" spans="1:7" ht="12.75" x14ac:dyDescent="0.2">
      <c r="A161" s="90">
        <v>3</v>
      </c>
      <c r="B161" s="90">
        <v>61</v>
      </c>
      <c r="C161" s="4">
        <v>7</v>
      </c>
      <c r="D161" s="4">
        <f t="shared" si="13"/>
        <v>188300</v>
      </c>
      <c r="E161" s="3">
        <v>11486300</v>
      </c>
      <c r="F161" s="5">
        <v>1</v>
      </c>
      <c r="G161" s="5">
        <f t="shared" si="12"/>
        <v>11486300</v>
      </c>
    </row>
    <row r="162" spans="1:7" ht="12.75" x14ac:dyDescent="0.2">
      <c r="A162" s="90">
        <v>3</v>
      </c>
      <c r="B162" s="90">
        <v>61</v>
      </c>
      <c r="C162" s="4">
        <v>8</v>
      </c>
      <c r="D162" s="4">
        <f t="shared" si="13"/>
        <v>188300</v>
      </c>
      <c r="E162" s="3">
        <v>11486300</v>
      </c>
      <c r="F162" s="5">
        <v>1</v>
      </c>
      <c r="G162" s="5">
        <f t="shared" si="12"/>
        <v>11486300</v>
      </c>
    </row>
    <row r="163" spans="1:7" ht="12.75" x14ac:dyDescent="0.2">
      <c r="A163" s="90">
        <v>3</v>
      </c>
      <c r="B163" s="90">
        <v>61</v>
      </c>
      <c r="C163" s="4">
        <v>9</v>
      </c>
      <c r="D163" s="4">
        <f t="shared" si="13"/>
        <v>188300</v>
      </c>
      <c r="E163" s="3">
        <v>11486300</v>
      </c>
      <c r="F163" s="5">
        <v>1</v>
      </c>
      <c r="G163" s="5">
        <f t="shared" si="12"/>
        <v>11486300</v>
      </c>
    </row>
    <row r="164" spans="1:7" ht="12.75" x14ac:dyDescent="0.2">
      <c r="A164" s="90">
        <v>3</v>
      </c>
      <c r="B164" s="90">
        <v>61</v>
      </c>
      <c r="C164" s="4">
        <v>10</v>
      </c>
      <c r="D164" s="4">
        <f t="shared" si="13"/>
        <v>193300</v>
      </c>
      <c r="E164" s="3">
        <v>11791300</v>
      </c>
      <c r="F164" s="5">
        <v>1</v>
      </c>
      <c r="G164" s="5">
        <f t="shared" si="12"/>
        <v>11791300</v>
      </c>
    </row>
    <row r="165" spans="1:7" ht="12.75" x14ac:dyDescent="0.2">
      <c r="A165" s="90">
        <v>3</v>
      </c>
      <c r="B165" s="90">
        <v>61</v>
      </c>
      <c r="C165" s="4">
        <v>11</v>
      </c>
      <c r="D165" s="4">
        <f t="shared" si="13"/>
        <v>193300</v>
      </c>
      <c r="E165" s="3">
        <v>11791300</v>
      </c>
      <c r="F165" s="5">
        <v>1</v>
      </c>
      <c r="G165" s="5">
        <f t="shared" si="12"/>
        <v>11791300</v>
      </c>
    </row>
    <row r="166" spans="1:7" ht="12.75" x14ac:dyDescent="0.2">
      <c r="A166" s="90">
        <v>3</v>
      </c>
      <c r="B166" s="90">
        <v>61.1</v>
      </c>
      <c r="C166" s="4">
        <v>2</v>
      </c>
      <c r="D166" s="4">
        <f t="shared" si="13"/>
        <v>183300</v>
      </c>
      <c r="E166" s="3">
        <v>11199630</v>
      </c>
      <c r="F166" s="5">
        <v>1</v>
      </c>
      <c r="G166" s="5">
        <f t="shared" si="12"/>
        <v>11199630</v>
      </c>
    </row>
    <row r="167" spans="1:7" ht="12.75" x14ac:dyDescent="0.2">
      <c r="A167" s="90">
        <v>3</v>
      </c>
      <c r="B167" s="90">
        <v>61.1</v>
      </c>
      <c r="C167" s="4">
        <v>3</v>
      </c>
      <c r="D167" s="4">
        <f t="shared" si="13"/>
        <v>183300</v>
      </c>
      <c r="E167" s="3">
        <v>11199630</v>
      </c>
      <c r="F167" s="5">
        <v>1</v>
      </c>
      <c r="G167" s="5">
        <f t="shared" si="12"/>
        <v>11199630</v>
      </c>
    </row>
    <row r="168" spans="1:7" ht="12.75" x14ac:dyDescent="0.2">
      <c r="A168" s="90">
        <v>3</v>
      </c>
      <c r="B168" s="90">
        <v>61.1</v>
      </c>
      <c r="C168" s="4">
        <v>4</v>
      </c>
      <c r="D168" s="4">
        <f t="shared" si="13"/>
        <v>183300</v>
      </c>
      <c r="E168" s="3">
        <v>11199630</v>
      </c>
      <c r="F168" s="5">
        <v>1</v>
      </c>
      <c r="G168" s="5">
        <f t="shared" si="12"/>
        <v>11199630</v>
      </c>
    </row>
    <row r="169" spans="1:7" ht="12.75" x14ac:dyDescent="0.2">
      <c r="A169" s="90">
        <v>3</v>
      </c>
      <c r="B169" s="90">
        <v>61.1</v>
      </c>
      <c r="C169" s="4">
        <v>5</v>
      </c>
      <c r="D169" s="4">
        <f t="shared" si="13"/>
        <v>183300</v>
      </c>
      <c r="E169" s="3">
        <v>11199630</v>
      </c>
      <c r="F169" s="5">
        <v>1</v>
      </c>
      <c r="G169" s="5">
        <f t="shared" si="12"/>
        <v>11199630</v>
      </c>
    </row>
    <row r="170" spans="1:7" ht="12.75" x14ac:dyDescent="0.2">
      <c r="A170" s="90">
        <v>3</v>
      </c>
      <c r="B170" s="90">
        <v>61.1</v>
      </c>
      <c r="C170" s="4">
        <v>6</v>
      </c>
      <c r="D170" s="4">
        <f t="shared" si="13"/>
        <v>183300</v>
      </c>
      <c r="E170" s="3">
        <v>11199630</v>
      </c>
      <c r="F170" s="5">
        <v>1</v>
      </c>
      <c r="G170" s="5">
        <f t="shared" si="12"/>
        <v>11199630</v>
      </c>
    </row>
    <row r="171" spans="1:7" ht="12.75" x14ac:dyDescent="0.2">
      <c r="A171" s="90">
        <v>3</v>
      </c>
      <c r="B171" s="90">
        <v>61.9</v>
      </c>
      <c r="C171" s="4">
        <v>7</v>
      </c>
      <c r="D171" s="4">
        <f t="shared" si="13"/>
        <v>186300</v>
      </c>
      <c r="E171" s="3">
        <v>11531970</v>
      </c>
      <c r="F171" s="5">
        <v>1</v>
      </c>
      <c r="G171" s="5">
        <f t="shared" si="12"/>
        <v>11531970</v>
      </c>
    </row>
    <row r="172" spans="1:7" ht="12.75" x14ac:dyDescent="0.2">
      <c r="A172" s="90">
        <v>3</v>
      </c>
      <c r="B172" s="90">
        <v>61.9</v>
      </c>
      <c r="C172" s="4">
        <v>8</v>
      </c>
      <c r="D172" s="4">
        <f t="shared" si="13"/>
        <v>186300</v>
      </c>
      <c r="E172" s="3">
        <v>11531970</v>
      </c>
      <c r="F172" s="5">
        <v>1</v>
      </c>
      <c r="G172" s="5">
        <f t="shared" si="12"/>
        <v>11531970</v>
      </c>
    </row>
    <row r="173" spans="1:7" ht="12.75" x14ac:dyDescent="0.2">
      <c r="A173" s="90">
        <v>3</v>
      </c>
      <c r="B173" s="90">
        <v>61.9</v>
      </c>
      <c r="C173" s="4">
        <v>9</v>
      </c>
      <c r="D173" s="4">
        <f t="shared" si="13"/>
        <v>186300</v>
      </c>
      <c r="E173" s="3">
        <v>11531970</v>
      </c>
      <c r="F173" s="5">
        <v>1</v>
      </c>
      <c r="G173" s="5">
        <f t="shared" si="12"/>
        <v>11531970</v>
      </c>
    </row>
    <row r="174" spans="1:7" ht="12.75" x14ac:dyDescent="0.2">
      <c r="A174" s="90">
        <v>2</v>
      </c>
      <c r="B174" s="90">
        <v>61.9</v>
      </c>
      <c r="C174" s="4">
        <v>10</v>
      </c>
      <c r="D174" s="4">
        <f t="shared" si="13"/>
        <v>193300</v>
      </c>
      <c r="E174" s="3">
        <v>11965270</v>
      </c>
      <c r="F174" s="5">
        <v>1</v>
      </c>
      <c r="G174" s="5">
        <f t="shared" si="12"/>
        <v>11965270</v>
      </c>
    </row>
    <row r="175" spans="1:7" ht="12.75" x14ac:dyDescent="0.2">
      <c r="A175" s="90">
        <v>2</v>
      </c>
      <c r="B175" s="90">
        <v>61.9</v>
      </c>
      <c r="C175" s="4">
        <v>11</v>
      </c>
      <c r="D175" s="4">
        <f t="shared" si="13"/>
        <v>193300</v>
      </c>
      <c r="E175" s="3">
        <v>11965270</v>
      </c>
      <c r="F175" s="5">
        <v>1</v>
      </c>
      <c r="G175" s="5">
        <f t="shared" si="12"/>
        <v>11965270</v>
      </c>
    </row>
    <row r="176" spans="1:7" ht="12.75" x14ac:dyDescent="0.2">
      <c r="A176" s="90">
        <v>3</v>
      </c>
      <c r="B176" s="90">
        <v>62.1</v>
      </c>
      <c r="C176" s="4">
        <v>5</v>
      </c>
      <c r="D176" s="4">
        <f t="shared" si="13"/>
        <v>181300</v>
      </c>
      <c r="E176" s="3">
        <v>11258730</v>
      </c>
      <c r="F176" s="5">
        <v>1</v>
      </c>
      <c r="G176" s="5">
        <f t="shared" si="12"/>
        <v>11258730</v>
      </c>
    </row>
    <row r="177" spans="1:7" ht="12.75" x14ac:dyDescent="0.2">
      <c r="A177" s="90">
        <v>3</v>
      </c>
      <c r="B177" s="90">
        <v>71.7</v>
      </c>
      <c r="C177" s="4">
        <v>10</v>
      </c>
      <c r="D177" s="4">
        <f t="shared" si="13"/>
        <v>188300</v>
      </c>
      <c r="E177" s="3">
        <v>13501110</v>
      </c>
      <c r="F177" s="5">
        <v>1</v>
      </c>
      <c r="G177" s="5">
        <f t="shared" si="12"/>
        <v>13501110</v>
      </c>
    </row>
    <row r="178" spans="1:7" ht="12.75" x14ac:dyDescent="0.2">
      <c r="A178" s="90">
        <v>3</v>
      </c>
      <c r="B178" s="90">
        <v>71.7</v>
      </c>
      <c r="C178" s="4">
        <v>11</v>
      </c>
      <c r="D178" s="4">
        <f t="shared" si="13"/>
        <v>188300</v>
      </c>
      <c r="E178" s="3">
        <v>13501110</v>
      </c>
      <c r="F178" s="5">
        <v>1</v>
      </c>
      <c r="G178" s="5">
        <f t="shared" si="12"/>
        <v>13501110</v>
      </c>
    </row>
    <row r="179" spans="1:7" ht="12.75" x14ac:dyDescent="0.2">
      <c r="A179" s="90">
        <v>4</v>
      </c>
      <c r="B179" s="90">
        <v>75.599999999999994</v>
      </c>
      <c r="C179" s="4">
        <v>2</v>
      </c>
      <c r="D179" s="4">
        <f t="shared" si="13"/>
        <v>173300</v>
      </c>
      <c r="E179" s="3">
        <v>13101480</v>
      </c>
      <c r="F179" s="5">
        <v>1</v>
      </c>
      <c r="G179" s="5">
        <f t="shared" si="12"/>
        <v>13101480</v>
      </c>
    </row>
    <row r="180" spans="1:7" ht="12.75" x14ac:dyDescent="0.2">
      <c r="A180" s="90">
        <v>4</v>
      </c>
      <c r="B180" s="90">
        <v>88.3</v>
      </c>
      <c r="C180" s="4">
        <v>8</v>
      </c>
      <c r="D180" s="4">
        <f t="shared" si="13"/>
        <v>178300</v>
      </c>
      <c r="E180" s="3">
        <v>15743890</v>
      </c>
      <c r="F180" s="5">
        <v>1</v>
      </c>
      <c r="G180" s="5">
        <f t="shared" si="12"/>
        <v>15743890</v>
      </c>
    </row>
    <row r="181" spans="1:7" ht="12.75" x14ac:dyDescent="0.2">
      <c r="A181" s="90">
        <v>4</v>
      </c>
      <c r="B181" s="90">
        <v>88.3</v>
      </c>
      <c r="C181" s="4">
        <v>9</v>
      </c>
      <c r="D181" s="4">
        <f t="shared" si="13"/>
        <v>178300</v>
      </c>
      <c r="E181" s="3">
        <v>15743890</v>
      </c>
      <c r="F181" s="5">
        <v>1</v>
      </c>
      <c r="G181" s="5">
        <f t="shared" si="12"/>
        <v>15743890</v>
      </c>
    </row>
    <row r="182" spans="1:7" ht="12.75" x14ac:dyDescent="0.2">
      <c r="A182" s="90">
        <v>4</v>
      </c>
      <c r="B182" s="90">
        <v>88.3</v>
      </c>
      <c r="C182" s="4">
        <v>10</v>
      </c>
      <c r="D182" s="4">
        <f t="shared" si="13"/>
        <v>188300</v>
      </c>
      <c r="E182" s="3">
        <v>16626890</v>
      </c>
      <c r="F182" s="5">
        <v>1</v>
      </c>
      <c r="G182" s="5">
        <f t="shared" si="12"/>
        <v>16626890</v>
      </c>
    </row>
    <row r="183" spans="1:7" ht="12.75" x14ac:dyDescent="0.2">
      <c r="A183" s="90">
        <v>4</v>
      </c>
      <c r="B183" s="90">
        <v>88.3</v>
      </c>
      <c r="C183" s="4">
        <v>11</v>
      </c>
      <c r="D183" s="4">
        <f t="shared" ref="D183" si="14">E183/B183</f>
        <v>188300</v>
      </c>
      <c r="E183" s="3">
        <v>16626890</v>
      </c>
      <c r="F183" s="5">
        <v>1</v>
      </c>
      <c r="G183" s="5">
        <f t="shared" si="12"/>
        <v>16626890</v>
      </c>
    </row>
    <row r="184" spans="1:7" ht="12.75" x14ac:dyDescent="0.2">
      <c r="A184" s="1"/>
      <c r="B184" s="1"/>
      <c r="C184" s="1"/>
      <c r="D184" s="1"/>
      <c r="E184" s="1"/>
    </row>
    <row r="185" spans="1:7" ht="12.75" x14ac:dyDescent="0.2">
      <c r="A185" s="1"/>
      <c r="B185" s="1"/>
      <c r="C185" s="1"/>
      <c r="D185" s="1"/>
      <c r="E185" s="1"/>
    </row>
    <row r="186" spans="1:7" ht="12.75" x14ac:dyDescent="0.2">
      <c r="A186" s="1"/>
      <c r="B186" s="1"/>
      <c r="C186" s="1"/>
      <c r="D186" s="1"/>
      <c r="E186" s="1"/>
    </row>
    <row r="187" spans="1:7" ht="12.75" x14ac:dyDescent="0.2">
      <c r="A187" s="1"/>
      <c r="B187" s="1"/>
      <c r="C187" s="1"/>
      <c r="D187" s="1"/>
      <c r="E187" s="1"/>
    </row>
    <row r="188" spans="1:7" ht="12.75" x14ac:dyDescent="0.2">
      <c r="A188" s="1"/>
      <c r="B188" s="1"/>
      <c r="C188" s="1"/>
      <c r="D188" s="1"/>
      <c r="E188" s="1"/>
    </row>
    <row r="189" spans="1:7" ht="12.75" x14ac:dyDescent="0.2">
      <c r="A189" s="1"/>
      <c r="B189" s="1"/>
      <c r="C189" s="1"/>
      <c r="D189" s="1"/>
      <c r="E189" s="1"/>
    </row>
    <row r="190" spans="1:7" ht="12.75" x14ac:dyDescent="0.2">
      <c r="A190" s="1"/>
      <c r="B190" s="1"/>
      <c r="C190" s="1"/>
      <c r="D190" s="1"/>
      <c r="E190" s="1"/>
    </row>
    <row r="191" spans="1:7" ht="12.75" x14ac:dyDescent="0.2">
      <c r="A191" s="1"/>
      <c r="B191" s="1"/>
      <c r="C191" s="1"/>
      <c r="D191" s="1"/>
      <c r="E191" s="1"/>
    </row>
    <row r="192" spans="1:7" ht="12.75" x14ac:dyDescent="0.2">
      <c r="A192" s="1"/>
      <c r="B192" s="1"/>
      <c r="C192" s="1"/>
      <c r="D192" s="1"/>
      <c r="E192" s="1"/>
    </row>
    <row r="193" spans="1:5" ht="12.75" x14ac:dyDescent="0.2">
      <c r="A193" s="1"/>
      <c r="B193" s="1"/>
      <c r="C193" s="1"/>
      <c r="D193" s="1"/>
      <c r="E193" s="1"/>
    </row>
    <row r="194" spans="1:5" ht="12.75" x14ac:dyDescent="0.2">
      <c r="A194" s="1"/>
      <c r="B194" s="1"/>
      <c r="C194" s="1"/>
      <c r="D194" s="1"/>
      <c r="E194" s="1"/>
    </row>
    <row r="195" spans="1:5" ht="12.75" x14ac:dyDescent="0.2">
      <c r="A195" s="1"/>
      <c r="B195" s="1"/>
      <c r="C195" s="1"/>
      <c r="D195" s="1"/>
      <c r="E195" s="1"/>
    </row>
    <row r="196" spans="1:5" ht="12.75" x14ac:dyDescent="0.2">
      <c r="A196" s="1"/>
      <c r="B196" s="1"/>
      <c r="C196" s="1"/>
      <c r="D196" s="1"/>
      <c r="E196" s="1"/>
    </row>
    <row r="197" spans="1:5" ht="12.75" x14ac:dyDescent="0.2">
      <c r="A197" s="1"/>
      <c r="B197" s="1"/>
      <c r="C197" s="1"/>
      <c r="D197" s="1"/>
      <c r="E197" s="1"/>
    </row>
    <row r="198" spans="1:5" ht="12.75" x14ac:dyDescent="0.2">
      <c r="A198" s="1"/>
      <c r="B198" s="1"/>
      <c r="C198" s="1"/>
      <c r="D198" s="1"/>
      <c r="E198" s="1"/>
    </row>
    <row r="199" spans="1:5" ht="12.75" x14ac:dyDescent="0.2">
      <c r="A199" s="1"/>
      <c r="B199" s="1"/>
      <c r="C199" s="1"/>
      <c r="D199" s="1"/>
      <c r="E199" s="1"/>
    </row>
    <row r="200" spans="1:5" ht="12.75" x14ac:dyDescent="0.2">
      <c r="A200" s="1"/>
      <c r="B200" s="1"/>
      <c r="C200" s="1"/>
      <c r="D200" s="1"/>
      <c r="E200" s="1"/>
    </row>
    <row r="201" spans="1:5" ht="12.75" x14ac:dyDescent="0.2">
      <c r="A201" s="1"/>
      <c r="B201" s="1"/>
      <c r="C201" s="1"/>
      <c r="D201" s="1"/>
      <c r="E201" s="1"/>
    </row>
    <row r="202" spans="1:5" ht="12.75" x14ac:dyDescent="0.2">
      <c r="A202" s="1"/>
      <c r="B202" s="1"/>
      <c r="C202" s="1"/>
      <c r="D202" s="1"/>
      <c r="E202" s="1"/>
    </row>
    <row r="203" spans="1:5" ht="12.75" x14ac:dyDescent="0.2">
      <c r="A203" s="1"/>
      <c r="B203" s="1"/>
      <c r="C203" s="1"/>
      <c r="D203" s="1"/>
      <c r="E203" s="1"/>
    </row>
    <row r="204" spans="1:5" ht="12.75" x14ac:dyDescent="0.2">
      <c r="A204" s="1"/>
      <c r="B204" s="1"/>
      <c r="C204" s="1"/>
      <c r="D204" s="1"/>
      <c r="E204" s="1"/>
    </row>
    <row r="205" spans="1:5" ht="12.75" x14ac:dyDescent="0.2">
      <c r="A205" s="1"/>
      <c r="B205" s="1"/>
      <c r="C205" s="1"/>
      <c r="D205" s="1"/>
      <c r="E205" s="1"/>
    </row>
    <row r="206" spans="1:5" ht="12.75" x14ac:dyDescent="0.2">
      <c r="A206" s="1"/>
      <c r="B206" s="1"/>
      <c r="C206" s="1"/>
      <c r="D206" s="1"/>
      <c r="E206" s="1"/>
    </row>
    <row r="207" spans="1:5" ht="12.75" x14ac:dyDescent="0.2">
      <c r="A207" s="1"/>
      <c r="B207" s="1"/>
      <c r="C207" s="1"/>
      <c r="D207" s="1"/>
      <c r="E207" s="1"/>
    </row>
    <row r="208" spans="1:5" ht="12.75" x14ac:dyDescent="0.2">
      <c r="A208" s="1"/>
      <c r="B208" s="1"/>
      <c r="C208" s="1"/>
      <c r="D208" s="1"/>
      <c r="E208" s="1"/>
    </row>
    <row r="209" spans="1:5" ht="12.75" x14ac:dyDescent="0.2">
      <c r="A209" s="1"/>
      <c r="B209" s="1"/>
      <c r="C209" s="1"/>
      <c r="D209" s="1"/>
      <c r="E209" s="1"/>
    </row>
    <row r="210" spans="1:5" ht="12.75" x14ac:dyDescent="0.2">
      <c r="A210" s="1"/>
      <c r="B210" s="1"/>
      <c r="C210" s="1"/>
      <c r="D210" s="1"/>
      <c r="E210" s="1"/>
    </row>
    <row r="211" spans="1:5" ht="12.75" x14ac:dyDescent="0.2">
      <c r="A211" s="1"/>
      <c r="B211" s="1"/>
      <c r="C211" s="1"/>
      <c r="D211" s="1"/>
      <c r="E211" s="1"/>
    </row>
    <row r="212" spans="1:5" ht="12.75" x14ac:dyDescent="0.2">
      <c r="A212" s="1"/>
      <c r="B212" s="1"/>
      <c r="C212" s="1"/>
      <c r="D212" s="1"/>
      <c r="E212" s="1"/>
    </row>
    <row r="213" spans="1:5" ht="12.75" x14ac:dyDescent="0.2">
      <c r="A213" s="1"/>
      <c r="B213" s="1"/>
      <c r="C213" s="1"/>
      <c r="D213" s="1"/>
      <c r="E213" s="1"/>
    </row>
    <row r="214" spans="1:5" ht="12.75" x14ac:dyDescent="0.2">
      <c r="A214" s="1"/>
      <c r="B214" s="1"/>
      <c r="C214" s="1"/>
      <c r="D214" s="1"/>
      <c r="E214" s="1"/>
    </row>
    <row r="215" spans="1:5" ht="12.75" x14ac:dyDescent="0.2">
      <c r="A215" s="1"/>
      <c r="B215" s="1"/>
      <c r="C215" s="1"/>
      <c r="D215" s="1"/>
      <c r="E215" s="1"/>
    </row>
    <row r="216" spans="1:5" ht="12.75" x14ac:dyDescent="0.2">
      <c r="A216" s="1"/>
      <c r="B216" s="1"/>
      <c r="C216" s="1"/>
      <c r="D216" s="1"/>
      <c r="E216" s="1"/>
    </row>
    <row r="217" spans="1:5" ht="12.75" x14ac:dyDescent="0.2">
      <c r="A217" s="1"/>
      <c r="B217" s="1"/>
      <c r="C217" s="1"/>
      <c r="D217" s="1"/>
      <c r="E217" s="1"/>
    </row>
    <row r="218" spans="1:5" ht="12.75" x14ac:dyDescent="0.2">
      <c r="A218" s="1"/>
      <c r="B218" s="1"/>
      <c r="C218" s="1"/>
      <c r="D218" s="1"/>
      <c r="E218" s="1"/>
    </row>
    <row r="219" spans="1:5" ht="12.75" x14ac:dyDescent="0.2">
      <c r="A219" s="1"/>
      <c r="B219" s="1"/>
      <c r="C219" s="1"/>
      <c r="D219" s="1"/>
      <c r="E219" s="1"/>
    </row>
    <row r="220" spans="1:5" ht="12.75" x14ac:dyDescent="0.2">
      <c r="A220" s="1"/>
      <c r="B220" s="1"/>
      <c r="C220" s="1"/>
      <c r="D220" s="1"/>
      <c r="E220" s="1"/>
    </row>
    <row r="221" spans="1:5" ht="12.75" x14ac:dyDescent="0.2">
      <c r="A221" s="1"/>
      <c r="B221" s="1"/>
      <c r="C221" s="1"/>
      <c r="D221" s="1"/>
      <c r="E221" s="1"/>
    </row>
    <row r="222" spans="1:5" ht="12.75" x14ac:dyDescent="0.2">
      <c r="A222" s="1"/>
      <c r="B222" s="1"/>
      <c r="C222" s="1"/>
      <c r="D222" s="1"/>
      <c r="E222" s="1"/>
    </row>
    <row r="223" spans="1:5" ht="12.75" x14ac:dyDescent="0.2">
      <c r="A223" s="1"/>
      <c r="B223" s="1"/>
      <c r="C223" s="1"/>
      <c r="D223" s="1"/>
      <c r="E223" s="1"/>
    </row>
    <row r="224" spans="1:5" ht="12.75" x14ac:dyDescent="0.2">
      <c r="A224" s="1"/>
      <c r="B224" s="1"/>
      <c r="C224" s="1"/>
      <c r="D224" s="1"/>
      <c r="E224" s="1"/>
    </row>
    <row r="225" spans="1:5" ht="12.75" x14ac:dyDescent="0.2">
      <c r="A225" s="1"/>
      <c r="B225" s="1"/>
      <c r="C225" s="1"/>
      <c r="D225" s="1"/>
      <c r="E225" s="1"/>
    </row>
    <row r="226" spans="1:5" ht="12.75" x14ac:dyDescent="0.2">
      <c r="A226" s="1"/>
      <c r="B226" s="1"/>
      <c r="C226" s="1"/>
      <c r="D226" s="1"/>
      <c r="E226" s="1"/>
    </row>
    <row r="227" spans="1:5" ht="12.75" x14ac:dyDescent="0.2">
      <c r="A227" s="1"/>
      <c r="B227" s="1"/>
      <c r="C227" s="1"/>
      <c r="D227" s="1"/>
      <c r="E227" s="1"/>
    </row>
    <row r="228" spans="1:5" ht="12.75" x14ac:dyDescent="0.2">
      <c r="A228" s="1"/>
      <c r="B228" s="1"/>
      <c r="C228" s="1"/>
      <c r="D228" s="1"/>
      <c r="E228" s="1"/>
    </row>
    <row r="229" spans="1:5" ht="12.75" x14ac:dyDescent="0.2">
      <c r="A229" s="1"/>
      <c r="B229" s="1"/>
      <c r="C229" s="1"/>
      <c r="D229" s="1"/>
      <c r="E229" s="1"/>
    </row>
    <row r="230" spans="1:5" ht="12.75" x14ac:dyDescent="0.2">
      <c r="A230" s="1"/>
      <c r="B230" s="1"/>
      <c r="C230" s="1"/>
      <c r="D230" s="1"/>
      <c r="E230" s="1"/>
    </row>
    <row r="231" spans="1:5" ht="12.75" x14ac:dyDescent="0.2">
      <c r="A231" s="1"/>
      <c r="B231" s="1"/>
      <c r="C231" s="1"/>
      <c r="D231" s="1"/>
      <c r="E231" s="1"/>
    </row>
    <row r="232" spans="1:5" ht="12.75" x14ac:dyDescent="0.2">
      <c r="A232" s="1"/>
      <c r="B232" s="1"/>
      <c r="C232" s="1"/>
      <c r="D232" s="1"/>
      <c r="E232" s="1"/>
    </row>
    <row r="233" spans="1:5" ht="12.75" x14ac:dyDescent="0.2">
      <c r="A233" s="1"/>
      <c r="B233" s="1"/>
      <c r="C233" s="1"/>
      <c r="D233" s="1"/>
      <c r="E233" s="1"/>
    </row>
    <row r="234" spans="1:5" ht="12.75" x14ac:dyDescent="0.2">
      <c r="A234" s="1"/>
      <c r="B234" s="1"/>
      <c r="C234" s="1"/>
      <c r="D234" s="1"/>
      <c r="E234" s="1"/>
    </row>
    <row r="235" spans="1:5" ht="12.75" x14ac:dyDescent="0.2">
      <c r="A235" s="1"/>
      <c r="B235" s="1"/>
      <c r="C235" s="1"/>
      <c r="D235" s="1"/>
      <c r="E235" s="1"/>
    </row>
    <row r="236" spans="1:5" ht="12.75" x14ac:dyDescent="0.2">
      <c r="A236" s="1"/>
      <c r="B236" s="1"/>
      <c r="C236" s="1"/>
      <c r="D236" s="1"/>
      <c r="E236" s="1"/>
    </row>
    <row r="237" spans="1:5" ht="12.75" x14ac:dyDescent="0.2">
      <c r="A237" s="1"/>
      <c r="B237" s="1"/>
      <c r="C237" s="1"/>
      <c r="D237" s="1"/>
      <c r="E237" s="1"/>
    </row>
    <row r="238" spans="1:5" ht="12.75" x14ac:dyDescent="0.2">
      <c r="A238" s="1"/>
      <c r="B238" s="1"/>
      <c r="C238" s="1"/>
      <c r="D238" s="1"/>
      <c r="E238" s="1"/>
    </row>
    <row r="239" spans="1:5" ht="12.75" x14ac:dyDescent="0.2">
      <c r="A239" s="1"/>
      <c r="B239" s="1"/>
      <c r="C239" s="1"/>
      <c r="D239" s="1"/>
      <c r="E239" s="1"/>
    </row>
    <row r="240" spans="1:5" ht="12.75" x14ac:dyDescent="0.2">
      <c r="A240" s="1"/>
      <c r="B240" s="1"/>
      <c r="C240" s="1"/>
      <c r="D240" s="1"/>
      <c r="E240" s="1"/>
    </row>
    <row r="241" spans="1:5" ht="12.75" x14ac:dyDescent="0.2">
      <c r="A241" s="1"/>
      <c r="B241" s="1"/>
      <c r="C241" s="1"/>
      <c r="D241" s="1"/>
      <c r="E241" s="1"/>
    </row>
    <row r="242" spans="1:5" ht="12.75" x14ac:dyDescent="0.2">
      <c r="A242" s="1"/>
      <c r="B242" s="1"/>
      <c r="C242" s="1"/>
      <c r="D242" s="1"/>
      <c r="E242" s="1"/>
    </row>
    <row r="243" spans="1:5" ht="12.75" x14ac:dyDescent="0.2">
      <c r="A243" s="1"/>
      <c r="B243" s="1"/>
      <c r="C243" s="1"/>
      <c r="D243" s="1"/>
      <c r="E243" s="1"/>
    </row>
    <row r="244" spans="1:5" ht="12.75" x14ac:dyDescent="0.2">
      <c r="A244" s="1"/>
      <c r="B244" s="1"/>
      <c r="C244" s="1"/>
      <c r="D244" s="1"/>
      <c r="E244" s="1"/>
    </row>
    <row r="245" spans="1:5" ht="12.75" x14ac:dyDescent="0.2">
      <c r="A245" s="1"/>
      <c r="B245" s="1"/>
      <c r="C245" s="1"/>
      <c r="D245" s="1"/>
      <c r="E245" s="1"/>
    </row>
    <row r="246" spans="1:5" ht="12.75" x14ac:dyDescent="0.2">
      <c r="A246" s="1"/>
      <c r="B246" s="1"/>
      <c r="C246" s="1"/>
      <c r="D246" s="1"/>
      <c r="E246" s="1"/>
    </row>
    <row r="247" spans="1:5" ht="12.75" x14ac:dyDescent="0.2">
      <c r="A247" s="1"/>
      <c r="B247" s="1"/>
      <c r="C247" s="1"/>
      <c r="D247" s="1"/>
      <c r="E247" s="1"/>
    </row>
    <row r="248" spans="1:5" ht="12.75" x14ac:dyDescent="0.2">
      <c r="A248" s="1"/>
      <c r="B248" s="1"/>
      <c r="C248" s="1"/>
      <c r="D248" s="1"/>
      <c r="E248" s="1"/>
    </row>
    <row r="249" spans="1:5" ht="12.75" x14ac:dyDescent="0.2">
      <c r="A249" s="1"/>
      <c r="B249" s="1"/>
      <c r="C249" s="1"/>
      <c r="D249" s="1"/>
      <c r="E249" s="1"/>
    </row>
    <row r="250" spans="1:5" ht="12.75" x14ac:dyDescent="0.2">
      <c r="A250" s="1"/>
      <c r="B250" s="1"/>
      <c r="C250" s="1"/>
      <c r="D250" s="1"/>
      <c r="E250" s="1"/>
    </row>
    <row r="251" spans="1:5" ht="12.75" x14ac:dyDescent="0.2">
      <c r="A251" s="1"/>
      <c r="B251" s="1"/>
      <c r="C251" s="1"/>
      <c r="D251" s="1"/>
      <c r="E251" s="1"/>
    </row>
    <row r="252" spans="1:5" ht="12.75" x14ac:dyDescent="0.2">
      <c r="A252" s="1"/>
      <c r="B252" s="1"/>
      <c r="C252" s="1"/>
      <c r="D252" s="1"/>
      <c r="E252" s="1"/>
    </row>
    <row r="253" spans="1:5" ht="12.75" x14ac:dyDescent="0.2">
      <c r="A253" s="1"/>
      <c r="B253" s="1"/>
      <c r="C253" s="1"/>
      <c r="D253" s="1"/>
      <c r="E253" s="1"/>
    </row>
    <row r="254" spans="1:5" ht="12.75" x14ac:dyDescent="0.2">
      <c r="A254" s="1"/>
      <c r="B254" s="1"/>
      <c r="C254" s="1"/>
      <c r="D254" s="1"/>
      <c r="E254" s="1"/>
    </row>
    <row r="255" spans="1:5" ht="12.75" x14ac:dyDescent="0.2">
      <c r="A255" s="1"/>
      <c r="B255" s="1"/>
      <c r="C255" s="1"/>
      <c r="D255" s="1"/>
      <c r="E255" s="1"/>
    </row>
    <row r="256" spans="1:5" ht="12.75" x14ac:dyDescent="0.2">
      <c r="A256" s="1"/>
      <c r="B256" s="1"/>
      <c r="C256" s="1"/>
      <c r="D256" s="1"/>
      <c r="E256" s="1"/>
    </row>
    <row r="257" spans="1:5" ht="12.75" x14ac:dyDescent="0.2">
      <c r="A257" s="1"/>
      <c r="B257" s="1"/>
      <c r="C257" s="1"/>
      <c r="D257" s="1"/>
      <c r="E257" s="1"/>
    </row>
    <row r="258" spans="1:5" ht="12.75" x14ac:dyDescent="0.2">
      <c r="A258" s="1"/>
      <c r="B258" s="1"/>
      <c r="C258" s="1"/>
      <c r="D258" s="1"/>
      <c r="E258" s="1"/>
    </row>
    <row r="259" spans="1:5" ht="12.75" x14ac:dyDescent="0.2">
      <c r="A259" s="1"/>
      <c r="B259" s="1"/>
      <c r="C259" s="1"/>
      <c r="D259" s="1"/>
      <c r="E259" s="1"/>
    </row>
    <row r="260" spans="1:5" ht="12.75" x14ac:dyDescent="0.2">
      <c r="A260" s="1"/>
      <c r="B260" s="1"/>
      <c r="C260" s="1"/>
      <c r="D260" s="1"/>
      <c r="E260" s="1"/>
    </row>
    <row r="261" spans="1:5" ht="12.75" x14ac:dyDescent="0.2">
      <c r="A261" s="1"/>
      <c r="B261" s="1"/>
      <c r="C261" s="1"/>
      <c r="D261" s="1"/>
      <c r="E261" s="1"/>
    </row>
    <row r="262" spans="1:5" ht="12.75" x14ac:dyDescent="0.2">
      <c r="A262" s="1"/>
      <c r="B262" s="1"/>
      <c r="C262" s="1"/>
      <c r="D262" s="1"/>
      <c r="E262" s="1"/>
    </row>
    <row r="263" spans="1:5" ht="12.75" x14ac:dyDescent="0.2">
      <c r="A263" s="1"/>
      <c r="B263" s="1"/>
      <c r="C263" s="1"/>
      <c r="D263" s="1"/>
      <c r="E263" s="1"/>
    </row>
    <row r="264" spans="1:5" ht="12.75" x14ac:dyDescent="0.2">
      <c r="A264" s="1"/>
      <c r="B264" s="1"/>
      <c r="C264" s="1"/>
      <c r="D264" s="1"/>
      <c r="E264" s="1"/>
    </row>
    <row r="265" spans="1:5" ht="12.75" x14ac:dyDescent="0.2">
      <c r="A265" s="1"/>
      <c r="B265" s="1"/>
      <c r="C265" s="1"/>
      <c r="D265" s="1"/>
      <c r="E265" s="1"/>
    </row>
    <row r="266" spans="1:5" ht="12.75" x14ac:dyDescent="0.2">
      <c r="A266" s="1"/>
      <c r="B266" s="1"/>
      <c r="C266" s="1"/>
      <c r="D266" s="1"/>
      <c r="E266" s="1"/>
    </row>
    <row r="267" spans="1:5" ht="12.75" x14ac:dyDescent="0.2">
      <c r="A267" s="1"/>
      <c r="B267" s="1"/>
      <c r="C267" s="1"/>
      <c r="D267" s="1"/>
      <c r="E267" s="1"/>
    </row>
    <row r="268" spans="1:5" ht="12.75" x14ac:dyDescent="0.2">
      <c r="A268" s="1"/>
      <c r="B268" s="1"/>
      <c r="C268" s="1"/>
      <c r="D268" s="1"/>
      <c r="E268" s="1"/>
    </row>
    <row r="269" spans="1:5" ht="12.75" x14ac:dyDescent="0.2">
      <c r="A269" s="1"/>
      <c r="B269" s="1"/>
      <c r="C269" s="1"/>
      <c r="D269" s="1"/>
      <c r="E269" s="1"/>
    </row>
    <row r="270" spans="1:5" ht="12.75" x14ac:dyDescent="0.2">
      <c r="A270" s="1"/>
      <c r="B270" s="1"/>
      <c r="C270" s="1"/>
      <c r="D270" s="1"/>
      <c r="E270" s="1"/>
    </row>
    <row r="271" spans="1:5" ht="12.75" x14ac:dyDescent="0.2">
      <c r="A271" s="1"/>
      <c r="B271" s="1"/>
      <c r="C271" s="1"/>
      <c r="D271" s="1"/>
      <c r="E271" s="1"/>
    </row>
    <row r="272" spans="1:5" ht="12.75" x14ac:dyDescent="0.2">
      <c r="A272" s="1"/>
      <c r="B272" s="1"/>
      <c r="C272" s="1"/>
      <c r="D272" s="1"/>
      <c r="E272" s="1"/>
    </row>
    <row r="273" spans="1:5" ht="12.75" x14ac:dyDescent="0.2">
      <c r="A273" s="1"/>
      <c r="B273" s="1"/>
      <c r="C273" s="1"/>
      <c r="D273" s="1"/>
      <c r="E273" s="1"/>
    </row>
    <row r="274" spans="1:5" ht="12.75" x14ac:dyDescent="0.2">
      <c r="A274" s="1"/>
      <c r="B274" s="1"/>
      <c r="C274" s="1"/>
      <c r="D274" s="1"/>
      <c r="E274" s="1"/>
    </row>
    <row r="275" spans="1:5" ht="12.75" x14ac:dyDescent="0.2">
      <c r="A275" s="1"/>
      <c r="B275" s="1"/>
      <c r="C275" s="1"/>
      <c r="D275" s="1"/>
      <c r="E275" s="1"/>
    </row>
    <row r="276" spans="1:5" ht="12.75" x14ac:dyDescent="0.2">
      <c r="A276" s="1"/>
      <c r="B276" s="1"/>
      <c r="C276" s="1"/>
      <c r="D276" s="1"/>
      <c r="E276" s="1"/>
    </row>
    <row r="277" spans="1:5" ht="12.75" x14ac:dyDescent="0.2">
      <c r="A277" s="1"/>
      <c r="B277" s="1"/>
      <c r="C277" s="1"/>
      <c r="D277" s="1"/>
      <c r="E277" s="1"/>
    </row>
    <row r="278" spans="1:5" ht="12.75" x14ac:dyDescent="0.2">
      <c r="A278" s="1"/>
      <c r="B278" s="1"/>
      <c r="C278" s="1"/>
      <c r="D278" s="1"/>
      <c r="E278" s="1"/>
    </row>
    <row r="279" spans="1:5" ht="12.75" x14ac:dyDescent="0.2">
      <c r="A279" s="1"/>
      <c r="B279" s="1"/>
      <c r="C279" s="1"/>
      <c r="D279" s="1"/>
      <c r="E279" s="1"/>
    </row>
    <row r="280" spans="1:5" ht="12.75" x14ac:dyDescent="0.2">
      <c r="A280" s="1"/>
      <c r="B280" s="1"/>
      <c r="C280" s="1"/>
      <c r="D280" s="1"/>
      <c r="E280" s="1"/>
    </row>
    <row r="281" spans="1:5" ht="12.75" x14ac:dyDescent="0.2">
      <c r="A281" s="1"/>
      <c r="B281" s="1"/>
      <c r="C281" s="1"/>
      <c r="D281" s="1"/>
      <c r="E281" s="1"/>
    </row>
    <row r="282" spans="1:5" ht="12.75" x14ac:dyDescent="0.2">
      <c r="A282" s="1"/>
      <c r="B282" s="1"/>
      <c r="C282" s="1"/>
      <c r="D282" s="1"/>
      <c r="E282" s="1"/>
    </row>
    <row r="283" spans="1:5" ht="12.75" x14ac:dyDescent="0.2">
      <c r="A283" s="1"/>
      <c r="B283" s="1"/>
      <c r="C283" s="1"/>
      <c r="D283" s="1"/>
      <c r="E283" s="1"/>
    </row>
    <row r="284" spans="1:5" ht="12.75" x14ac:dyDescent="0.2">
      <c r="A284" s="1"/>
      <c r="B284" s="1"/>
      <c r="C284" s="1"/>
      <c r="D284" s="1"/>
      <c r="E284" s="1"/>
    </row>
    <row r="285" spans="1:5" ht="12.75" x14ac:dyDescent="0.2">
      <c r="A285" s="1"/>
      <c r="B285" s="1"/>
      <c r="C285" s="1"/>
      <c r="D285" s="1"/>
      <c r="E285" s="1"/>
    </row>
    <row r="286" spans="1:5" ht="12.75" x14ac:dyDescent="0.2">
      <c r="A286" s="1"/>
      <c r="B286" s="1"/>
      <c r="C286" s="1"/>
      <c r="D286" s="1"/>
      <c r="E286" s="1"/>
    </row>
    <row r="287" spans="1:5" ht="12.75" x14ac:dyDescent="0.2">
      <c r="A287" s="1"/>
      <c r="B287" s="1"/>
      <c r="C287" s="1"/>
      <c r="D287" s="1"/>
      <c r="E287" s="1"/>
    </row>
    <row r="288" spans="1:5" ht="12.75" x14ac:dyDescent="0.2">
      <c r="A288" s="1"/>
      <c r="B288" s="1"/>
      <c r="C288" s="1"/>
      <c r="D288" s="1"/>
      <c r="E288" s="1"/>
    </row>
    <row r="289" spans="1:5" ht="12.75" x14ac:dyDescent="0.2">
      <c r="A289" s="1"/>
      <c r="B289" s="1"/>
      <c r="C289" s="1"/>
      <c r="D289" s="1"/>
      <c r="E289" s="1"/>
    </row>
    <row r="290" spans="1:5" ht="12.75" x14ac:dyDescent="0.2">
      <c r="A290" s="1"/>
      <c r="B290" s="1"/>
      <c r="C290" s="1"/>
      <c r="D290" s="1"/>
      <c r="E290" s="1"/>
    </row>
    <row r="291" spans="1:5" ht="12.75" x14ac:dyDescent="0.2">
      <c r="A291" s="1"/>
      <c r="B291" s="1"/>
      <c r="C291" s="1"/>
      <c r="D291" s="1"/>
      <c r="E291" s="1"/>
    </row>
    <row r="292" spans="1:5" ht="12.75" x14ac:dyDescent="0.2">
      <c r="A292" s="1"/>
      <c r="B292" s="1"/>
      <c r="C292" s="1"/>
      <c r="D292" s="1"/>
      <c r="E292" s="1"/>
    </row>
    <row r="293" spans="1:5" ht="12.75" x14ac:dyDescent="0.2">
      <c r="A293" s="1"/>
      <c r="B293" s="1"/>
      <c r="C293" s="1"/>
      <c r="D293" s="1"/>
      <c r="E293" s="1"/>
    </row>
    <row r="294" spans="1:5" ht="12.75" x14ac:dyDescent="0.2">
      <c r="A294" s="1"/>
      <c r="B294" s="1"/>
      <c r="C294" s="1"/>
      <c r="D294" s="1"/>
      <c r="E294" s="1"/>
    </row>
    <row r="295" spans="1:5" ht="12.75" x14ac:dyDescent="0.2">
      <c r="A295" s="1"/>
      <c r="B295" s="1"/>
      <c r="C295" s="1"/>
      <c r="D295" s="1"/>
      <c r="E295" s="1"/>
    </row>
    <row r="296" spans="1:5" ht="12.75" x14ac:dyDescent="0.2">
      <c r="A296" s="1"/>
      <c r="B296" s="1"/>
      <c r="C296" s="1"/>
      <c r="D296" s="1"/>
      <c r="E296" s="1"/>
    </row>
    <row r="297" spans="1:5" ht="12.75" x14ac:dyDescent="0.2">
      <c r="A297" s="1"/>
      <c r="B297" s="1"/>
      <c r="C297" s="1"/>
      <c r="D297" s="1"/>
      <c r="E297" s="1"/>
    </row>
    <row r="298" spans="1:5" ht="12.75" x14ac:dyDescent="0.2">
      <c r="A298" s="1"/>
      <c r="B298" s="1"/>
      <c r="C298" s="1"/>
      <c r="D298" s="1"/>
      <c r="E298" s="1"/>
    </row>
    <row r="299" spans="1:5" ht="12.75" x14ac:dyDescent="0.2">
      <c r="A299" s="1"/>
      <c r="B299" s="1"/>
      <c r="C299" s="1"/>
      <c r="D299" s="1"/>
      <c r="E299" s="1"/>
    </row>
    <row r="300" spans="1:5" ht="12.75" x14ac:dyDescent="0.2">
      <c r="A300" s="1"/>
      <c r="B300" s="1"/>
      <c r="C300" s="1"/>
      <c r="D300" s="1"/>
      <c r="E300" s="1"/>
    </row>
    <row r="301" spans="1:5" ht="12.75" x14ac:dyDescent="0.2">
      <c r="A301" s="1"/>
      <c r="B301" s="1"/>
      <c r="C301" s="1"/>
      <c r="D301" s="1"/>
      <c r="E301" s="1"/>
    </row>
    <row r="302" spans="1:5" ht="12.75" x14ac:dyDescent="0.2">
      <c r="A302" s="1"/>
      <c r="B302" s="1"/>
      <c r="C302" s="1"/>
      <c r="D302" s="1"/>
      <c r="E302" s="1"/>
    </row>
    <row r="303" spans="1:5" ht="12.75" x14ac:dyDescent="0.2">
      <c r="A303" s="1"/>
      <c r="B303" s="1"/>
      <c r="C303" s="1"/>
      <c r="D303" s="1"/>
      <c r="E303" s="1"/>
    </row>
    <row r="304" spans="1:5" ht="12.75" x14ac:dyDescent="0.2">
      <c r="A304" s="1"/>
      <c r="B304" s="1"/>
      <c r="C304" s="1"/>
      <c r="D304" s="1"/>
      <c r="E304" s="1"/>
    </row>
    <row r="305" spans="1:5" ht="12.75" x14ac:dyDescent="0.2">
      <c r="A305" s="1"/>
      <c r="B305" s="1"/>
      <c r="C305" s="1"/>
      <c r="D305" s="1"/>
      <c r="E305" s="1"/>
    </row>
    <row r="306" spans="1:5" ht="12.75" x14ac:dyDescent="0.2">
      <c r="A306" s="1"/>
      <c r="B306" s="1"/>
      <c r="C306" s="1"/>
      <c r="D306" s="1"/>
      <c r="E306" s="1"/>
    </row>
    <row r="307" spans="1:5" ht="12.75" x14ac:dyDescent="0.2">
      <c r="A307" s="1"/>
      <c r="B307" s="1"/>
      <c r="C307" s="1"/>
      <c r="D307" s="1"/>
      <c r="E307" s="1"/>
    </row>
    <row r="308" spans="1:5" ht="12.75" x14ac:dyDescent="0.2">
      <c r="A308" s="1"/>
      <c r="B308" s="1"/>
      <c r="C308" s="1"/>
      <c r="D308" s="1"/>
      <c r="E308" s="1"/>
    </row>
    <row r="309" spans="1:5" ht="12.75" x14ac:dyDescent="0.2">
      <c r="A309" s="1"/>
      <c r="B309" s="1"/>
      <c r="C309" s="1"/>
      <c r="D309" s="1"/>
      <c r="E309" s="1"/>
    </row>
    <row r="310" spans="1:5" ht="12.75" x14ac:dyDescent="0.2">
      <c r="A310" s="1"/>
      <c r="B310" s="1"/>
      <c r="C310" s="1"/>
      <c r="D310" s="1"/>
      <c r="E310" s="1"/>
    </row>
    <row r="311" spans="1:5" ht="12.75" x14ac:dyDescent="0.2">
      <c r="A311" s="1"/>
      <c r="B311" s="1"/>
      <c r="C311" s="1"/>
      <c r="D311" s="1"/>
      <c r="E311" s="1"/>
    </row>
    <row r="312" spans="1:5" ht="12.75" x14ac:dyDescent="0.2">
      <c r="A312" s="1"/>
      <c r="B312" s="1"/>
      <c r="C312" s="1"/>
      <c r="D312" s="1"/>
      <c r="E312" s="1"/>
    </row>
    <row r="313" spans="1:5" ht="12.75" x14ac:dyDescent="0.2">
      <c r="A313" s="1"/>
      <c r="B313" s="1"/>
      <c r="C313" s="1"/>
      <c r="D313" s="1"/>
      <c r="E313" s="1"/>
    </row>
    <row r="314" spans="1:5" ht="12.75" x14ac:dyDescent="0.2">
      <c r="A314" s="1"/>
      <c r="B314" s="1"/>
      <c r="C314" s="1"/>
      <c r="D314" s="1"/>
      <c r="E314" s="1"/>
    </row>
    <row r="315" spans="1:5" ht="12.75" x14ac:dyDescent="0.2">
      <c r="A315" s="1"/>
      <c r="B315" s="1"/>
      <c r="C315" s="1"/>
      <c r="D315" s="1"/>
      <c r="E315" s="1"/>
    </row>
    <row r="316" spans="1:5" ht="12.75" x14ac:dyDescent="0.2">
      <c r="A316" s="1"/>
      <c r="B316" s="1"/>
      <c r="C316" s="1"/>
      <c r="D316" s="1"/>
      <c r="E316" s="1"/>
    </row>
    <row r="317" spans="1:5" ht="12.75" x14ac:dyDescent="0.2">
      <c r="A317" s="1"/>
      <c r="B317" s="1"/>
      <c r="C317" s="1"/>
      <c r="D317" s="1"/>
      <c r="E317" s="1"/>
    </row>
    <row r="318" spans="1:5" ht="12.75" x14ac:dyDescent="0.2">
      <c r="A318" s="1"/>
      <c r="B318" s="1"/>
      <c r="C318" s="1"/>
      <c r="D318" s="1"/>
      <c r="E318" s="1"/>
    </row>
    <row r="319" spans="1:5" ht="12.75" x14ac:dyDescent="0.2">
      <c r="A319" s="1"/>
      <c r="B319" s="1"/>
      <c r="C319" s="1"/>
      <c r="D319" s="1"/>
      <c r="E319" s="1"/>
    </row>
    <row r="320" spans="1:5" ht="12.75" x14ac:dyDescent="0.2">
      <c r="A320" s="1"/>
      <c r="B320" s="1"/>
      <c r="C320" s="1"/>
      <c r="D320" s="1"/>
      <c r="E320" s="1"/>
    </row>
    <row r="321" spans="1:5" ht="12.75" x14ac:dyDescent="0.2">
      <c r="A321" s="1"/>
      <c r="B321" s="1"/>
      <c r="C321" s="1"/>
      <c r="D321" s="1"/>
      <c r="E321" s="1"/>
    </row>
    <row r="322" spans="1:5" ht="12.75" x14ac:dyDescent="0.2">
      <c r="A322" s="1"/>
      <c r="B322" s="1"/>
      <c r="C322" s="1"/>
      <c r="D322" s="1"/>
      <c r="E322" s="1"/>
    </row>
    <row r="323" spans="1:5" ht="12.75" x14ac:dyDescent="0.2">
      <c r="A323" s="1"/>
      <c r="B323" s="1"/>
      <c r="C323" s="1"/>
      <c r="D323" s="1"/>
      <c r="E323" s="1"/>
    </row>
    <row r="324" spans="1:5" ht="12.75" x14ac:dyDescent="0.2">
      <c r="A324" s="1"/>
      <c r="B324" s="1"/>
      <c r="C324" s="1"/>
      <c r="D324" s="1"/>
      <c r="E324" s="1"/>
    </row>
    <row r="325" spans="1:5" ht="12.75" x14ac:dyDescent="0.2">
      <c r="A325" s="1"/>
      <c r="B325" s="1"/>
      <c r="C325" s="1"/>
      <c r="D325" s="1"/>
      <c r="E325" s="1"/>
    </row>
    <row r="326" spans="1:5" ht="12.75" x14ac:dyDescent="0.2">
      <c r="A326" s="1"/>
      <c r="B326" s="1"/>
      <c r="C326" s="1"/>
      <c r="D326" s="1"/>
      <c r="E326" s="1"/>
    </row>
    <row r="327" spans="1:5" ht="12.75" x14ac:dyDescent="0.2">
      <c r="A327" s="1"/>
      <c r="B327" s="1"/>
      <c r="C327" s="1"/>
      <c r="D327" s="1"/>
      <c r="E327" s="1"/>
    </row>
    <row r="328" spans="1:5" ht="12.75" x14ac:dyDescent="0.2">
      <c r="A328" s="1"/>
      <c r="B328" s="1"/>
      <c r="C328" s="1"/>
      <c r="D328" s="1"/>
      <c r="E328" s="1"/>
    </row>
    <row r="329" spans="1:5" ht="12.75" x14ac:dyDescent="0.2">
      <c r="A329" s="1"/>
      <c r="B329" s="1"/>
      <c r="C329" s="1"/>
      <c r="D329" s="1"/>
      <c r="E329" s="1"/>
    </row>
    <row r="330" spans="1:5" ht="12.75" x14ac:dyDescent="0.2">
      <c r="A330" s="1"/>
      <c r="B330" s="1"/>
      <c r="C330" s="1"/>
      <c r="D330" s="1"/>
      <c r="E330" s="1"/>
    </row>
    <row r="331" spans="1:5" ht="12.75" x14ac:dyDescent="0.2">
      <c r="A331" s="1"/>
      <c r="B331" s="1"/>
      <c r="C331" s="1"/>
      <c r="D331" s="1"/>
      <c r="E331" s="1"/>
    </row>
    <row r="332" spans="1:5" ht="12.75" x14ac:dyDescent="0.2">
      <c r="A332" s="1"/>
      <c r="B332" s="1"/>
      <c r="C332" s="1"/>
      <c r="D332" s="1"/>
      <c r="E332" s="1"/>
    </row>
    <row r="333" spans="1:5" ht="12.75" x14ac:dyDescent="0.2">
      <c r="A333" s="1"/>
      <c r="B333" s="1"/>
      <c r="C333" s="1"/>
      <c r="D333" s="1"/>
      <c r="E333" s="1"/>
    </row>
    <row r="334" spans="1:5" ht="12.75" x14ac:dyDescent="0.2">
      <c r="A334" s="1"/>
      <c r="B334" s="1"/>
      <c r="C334" s="1"/>
      <c r="D334" s="1"/>
      <c r="E334" s="1"/>
    </row>
    <row r="335" spans="1:5" ht="12.75" x14ac:dyDescent="0.2">
      <c r="A335" s="1"/>
      <c r="B335" s="1"/>
      <c r="C335" s="1"/>
      <c r="D335" s="1"/>
      <c r="E335" s="1"/>
    </row>
    <row r="336" spans="1:5" ht="12.75" x14ac:dyDescent="0.2">
      <c r="A336" s="1"/>
      <c r="B336" s="1"/>
      <c r="C336" s="1"/>
      <c r="D336" s="1"/>
      <c r="E336" s="1"/>
    </row>
    <row r="337" spans="1:5" ht="12.75" x14ac:dyDescent="0.2">
      <c r="A337" s="1"/>
      <c r="B337" s="1"/>
      <c r="C337" s="1"/>
      <c r="D337" s="1"/>
      <c r="E337" s="1"/>
    </row>
    <row r="338" spans="1:5" ht="12.75" x14ac:dyDescent="0.2">
      <c r="A338" s="1"/>
      <c r="B338" s="1"/>
      <c r="C338" s="1"/>
      <c r="D338" s="1"/>
      <c r="E338" s="1"/>
    </row>
    <row r="339" spans="1:5" ht="12.75" x14ac:dyDescent="0.2">
      <c r="A339" s="1"/>
      <c r="B339" s="1"/>
      <c r="C339" s="1"/>
      <c r="D339" s="1"/>
      <c r="E339" s="1"/>
    </row>
    <row r="340" spans="1:5" ht="12.75" x14ac:dyDescent="0.2">
      <c r="A340" s="1"/>
      <c r="B340" s="1"/>
      <c r="C340" s="1"/>
      <c r="D340" s="1"/>
      <c r="E340" s="1"/>
    </row>
    <row r="341" spans="1:5" ht="12.75" x14ac:dyDescent="0.2">
      <c r="A341" s="1"/>
      <c r="B341" s="1"/>
      <c r="C341" s="1"/>
      <c r="D341" s="1"/>
      <c r="E341" s="1"/>
    </row>
    <row r="342" spans="1:5" ht="12.75" x14ac:dyDescent="0.2">
      <c r="A342" s="1"/>
      <c r="B342" s="1"/>
      <c r="C342" s="1"/>
      <c r="D342" s="1"/>
      <c r="E342" s="1"/>
    </row>
    <row r="343" spans="1:5" ht="12.75" x14ac:dyDescent="0.2">
      <c r="A343" s="1"/>
      <c r="B343" s="1"/>
      <c r="C343" s="1"/>
      <c r="D343" s="1"/>
      <c r="E343" s="1"/>
    </row>
    <row r="344" spans="1:5" ht="12.75" x14ac:dyDescent="0.2">
      <c r="A344" s="1"/>
      <c r="B344" s="1"/>
      <c r="C344" s="1"/>
      <c r="D344" s="1"/>
      <c r="E344" s="1"/>
    </row>
    <row r="345" spans="1:5" ht="12.75" x14ac:dyDescent="0.2">
      <c r="A345" s="1"/>
      <c r="B345" s="1"/>
      <c r="C345" s="1"/>
      <c r="D345" s="1"/>
      <c r="E345" s="1"/>
    </row>
    <row r="346" spans="1:5" ht="12.75" x14ac:dyDescent="0.2">
      <c r="A346" s="1"/>
      <c r="B346" s="1"/>
      <c r="C346" s="1"/>
      <c r="D346" s="1"/>
      <c r="E346" s="1"/>
    </row>
    <row r="347" spans="1:5" ht="12.75" x14ac:dyDescent="0.2">
      <c r="A347" s="1"/>
      <c r="B347" s="1"/>
      <c r="C347" s="1"/>
      <c r="D347" s="1"/>
      <c r="E347" s="1"/>
    </row>
    <row r="348" spans="1:5" ht="12.75" x14ac:dyDescent="0.2">
      <c r="A348" s="1"/>
      <c r="B348" s="1"/>
      <c r="C348" s="1"/>
      <c r="D348" s="1"/>
      <c r="E348" s="1"/>
    </row>
    <row r="349" spans="1:5" ht="12.75" x14ac:dyDescent="0.2">
      <c r="A349" s="1"/>
      <c r="B349" s="1"/>
      <c r="C349" s="1"/>
      <c r="D349" s="1"/>
      <c r="E349" s="1"/>
    </row>
    <row r="350" spans="1:5" ht="12.75" x14ac:dyDescent="0.2">
      <c r="A350" s="1"/>
      <c r="B350" s="1"/>
      <c r="C350" s="1"/>
      <c r="D350" s="1"/>
      <c r="E350" s="1"/>
    </row>
    <row r="351" spans="1:5" ht="12.75" x14ac:dyDescent="0.2">
      <c r="A351" s="1"/>
      <c r="B351" s="1"/>
      <c r="C351" s="1"/>
      <c r="D351" s="1"/>
      <c r="E351" s="1"/>
    </row>
    <row r="352" spans="1:5" ht="12.75" x14ac:dyDescent="0.2">
      <c r="A352" s="1"/>
      <c r="B352" s="1"/>
      <c r="C352" s="1"/>
      <c r="D352" s="1"/>
      <c r="E352" s="1"/>
    </row>
    <row r="353" spans="1:5" ht="12.75" x14ac:dyDescent="0.2">
      <c r="A353" s="1"/>
      <c r="B353" s="1"/>
      <c r="C353" s="1"/>
      <c r="D353" s="1"/>
      <c r="E353" s="1"/>
    </row>
    <row r="354" spans="1:5" ht="12.75" x14ac:dyDescent="0.2">
      <c r="A354" s="1"/>
      <c r="B354" s="1"/>
      <c r="C354" s="1"/>
      <c r="D354" s="1"/>
      <c r="E354" s="1"/>
    </row>
    <row r="355" spans="1:5" ht="12.75" x14ac:dyDescent="0.2">
      <c r="A355" s="1"/>
      <c r="B355" s="1"/>
      <c r="C355" s="1"/>
      <c r="D355" s="1"/>
      <c r="E355" s="1"/>
    </row>
    <row r="356" spans="1:5" ht="12.75" x14ac:dyDescent="0.2">
      <c r="A356" s="1"/>
      <c r="B356" s="1"/>
      <c r="C356" s="1"/>
      <c r="D356" s="1"/>
      <c r="E356" s="1"/>
    </row>
    <row r="357" spans="1:5" ht="12.75" x14ac:dyDescent="0.2">
      <c r="A357" s="1"/>
      <c r="B357" s="1"/>
      <c r="C357" s="1"/>
      <c r="D357" s="1"/>
      <c r="E357" s="1"/>
    </row>
    <row r="358" spans="1:5" ht="12.75" x14ac:dyDescent="0.2">
      <c r="A358" s="1"/>
      <c r="B358" s="1"/>
      <c r="C358" s="1"/>
      <c r="D358" s="1"/>
      <c r="E358" s="1"/>
    </row>
    <row r="359" spans="1:5" ht="12.75" x14ac:dyDescent="0.2">
      <c r="A359" s="1"/>
      <c r="B359" s="1"/>
      <c r="C359" s="1"/>
      <c r="D359" s="1"/>
      <c r="E359" s="1"/>
    </row>
    <row r="360" spans="1:5" ht="12.75" x14ac:dyDescent="0.2">
      <c r="A360" s="1"/>
      <c r="B360" s="1"/>
      <c r="C360" s="1"/>
      <c r="D360" s="1"/>
      <c r="E360" s="1"/>
    </row>
    <row r="361" spans="1:5" ht="12.75" x14ac:dyDescent="0.2">
      <c r="A361" s="1"/>
      <c r="B361" s="1"/>
      <c r="C361" s="1"/>
      <c r="D361" s="1"/>
      <c r="E361" s="1"/>
    </row>
    <row r="362" spans="1:5" ht="12.75" x14ac:dyDescent="0.2">
      <c r="A362" s="1"/>
      <c r="B362" s="1"/>
      <c r="C362" s="1"/>
      <c r="D362" s="1"/>
      <c r="E362" s="1"/>
    </row>
    <row r="363" spans="1:5" ht="12.75" x14ac:dyDescent="0.2">
      <c r="A363" s="1"/>
      <c r="B363" s="1"/>
      <c r="C363" s="1"/>
      <c r="D363" s="1"/>
      <c r="E363" s="1"/>
    </row>
    <row r="364" spans="1:5" ht="12.75" x14ac:dyDescent="0.2">
      <c r="A364" s="1"/>
      <c r="B364" s="1"/>
      <c r="C364" s="1"/>
      <c r="D364" s="1"/>
      <c r="E364" s="1"/>
    </row>
    <row r="365" spans="1:5" ht="12.75" x14ac:dyDescent="0.2">
      <c r="A365" s="1"/>
      <c r="B365" s="1"/>
      <c r="C365" s="1"/>
      <c r="D365" s="1"/>
      <c r="E365" s="1"/>
    </row>
    <row r="366" spans="1:5" ht="12.75" x14ac:dyDescent="0.2">
      <c r="A366" s="1"/>
      <c r="B366" s="1"/>
      <c r="C366" s="1"/>
      <c r="D366" s="1"/>
      <c r="E366" s="1"/>
    </row>
    <row r="367" spans="1:5" ht="12.75" x14ac:dyDescent="0.2">
      <c r="A367" s="1"/>
      <c r="B367" s="1"/>
      <c r="C367" s="1"/>
      <c r="D367" s="1"/>
      <c r="E367" s="1"/>
    </row>
    <row r="368" spans="1:5" ht="12.75" x14ac:dyDescent="0.2">
      <c r="A368" s="1"/>
      <c r="B368" s="1"/>
      <c r="C368" s="1"/>
      <c r="D368" s="1"/>
      <c r="E368" s="1"/>
    </row>
    <row r="369" spans="1:5" ht="12.75" x14ac:dyDescent="0.2">
      <c r="A369" s="1"/>
      <c r="B369" s="1"/>
      <c r="C369" s="1"/>
      <c r="D369" s="1"/>
      <c r="E369" s="1"/>
    </row>
    <row r="370" spans="1:5" ht="12.75" x14ac:dyDescent="0.2">
      <c r="A370" s="1"/>
      <c r="B370" s="1"/>
      <c r="C370" s="1"/>
      <c r="D370" s="1"/>
      <c r="E370" s="1"/>
    </row>
    <row r="371" spans="1:5" ht="12.75" x14ac:dyDescent="0.2">
      <c r="A371" s="1"/>
      <c r="B371" s="1"/>
      <c r="C371" s="1"/>
      <c r="D371" s="1"/>
      <c r="E371" s="1"/>
    </row>
    <row r="372" spans="1:5" ht="12.75" x14ac:dyDescent="0.2">
      <c r="A372" s="1"/>
      <c r="B372" s="1"/>
      <c r="C372" s="1"/>
      <c r="D372" s="1"/>
      <c r="E372" s="1"/>
    </row>
    <row r="373" spans="1:5" ht="12.75" x14ac:dyDescent="0.2">
      <c r="A373" s="1"/>
      <c r="B373" s="1"/>
      <c r="C373" s="1"/>
      <c r="D373" s="1"/>
      <c r="E373" s="1"/>
    </row>
    <row r="374" spans="1:5" ht="12.75" x14ac:dyDescent="0.2">
      <c r="A374" s="1"/>
      <c r="B374" s="1"/>
      <c r="C374" s="1"/>
      <c r="D374" s="1"/>
      <c r="E374" s="1"/>
    </row>
    <row r="375" spans="1:5" ht="12.75" x14ac:dyDescent="0.2">
      <c r="A375" s="1"/>
      <c r="B375" s="1"/>
      <c r="C375" s="1"/>
      <c r="D375" s="1"/>
      <c r="E375" s="1"/>
    </row>
    <row r="376" spans="1:5" ht="12.75" x14ac:dyDescent="0.2">
      <c r="A376" s="1"/>
      <c r="B376" s="1"/>
      <c r="C376" s="1"/>
      <c r="D376" s="1"/>
      <c r="E376" s="1"/>
    </row>
    <row r="377" spans="1:5" ht="12.75" x14ac:dyDescent="0.2">
      <c r="A377" s="1"/>
      <c r="B377" s="1"/>
      <c r="C377" s="1"/>
      <c r="D377" s="1"/>
      <c r="E377" s="1"/>
    </row>
    <row r="378" spans="1:5" ht="12.75" x14ac:dyDescent="0.2">
      <c r="A378" s="1"/>
      <c r="B378" s="1"/>
      <c r="C378" s="1"/>
      <c r="D378" s="1"/>
      <c r="E378" s="1"/>
    </row>
    <row r="379" spans="1:5" ht="12.75" x14ac:dyDescent="0.2">
      <c r="A379" s="1"/>
      <c r="B379" s="1"/>
      <c r="C379" s="1"/>
      <c r="D379" s="1"/>
      <c r="E379" s="1"/>
    </row>
    <row r="380" spans="1:5" ht="12.75" x14ac:dyDescent="0.2">
      <c r="A380" s="1"/>
      <c r="B380" s="1"/>
      <c r="C380" s="1"/>
      <c r="D380" s="1"/>
      <c r="E380" s="1"/>
    </row>
    <row r="381" spans="1:5" ht="12.75" x14ac:dyDescent="0.2">
      <c r="A381" s="1"/>
      <c r="B381" s="1"/>
      <c r="C381" s="1"/>
      <c r="D381" s="1"/>
      <c r="E381" s="1"/>
    </row>
    <row r="382" spans="1:5" ht="12.75" x14ac:dyDescent="0.2">
      <c r="A382" s="1"/>
      <c r="B382" s="1"/>
      <c r="C382" s="1"/>
      <c r="D382" s="1"/>
      <c r="E382" s="1"/>
    </row>
    <row r="383" spans="1:5" ht="12.75" x14ac:dyDescent="0.2">
      <c r="A383" s="1"/>
      <c r="B383" s="1"/>
      <c r="C383" s="1"/>
      <c r="D383" s="1"/>
      <c r="E383" s="1"/>
    </row>
    <row r="384" spans="1:5" ht="12.75" x14ac:dyDescent="0.2">
      <c r="A384" s="1"/>
      <c r="B384" s="1"/>
      <c r="C384" s="1"/>
      <c r="D384" s="1"/>
      <c r="E384" s="1"/>
    </row>
    <row r="385" spans="1:5" ht="12.75" x14ac:dyDescent="0.2">
      <c r="A385" s="1"/>
      <c r="B385" s="1"/>
      <c r="C385" s="1"/>
      <c r="D385" s="1"/>
      <c r="E385" s="1"/>
    </row>
    <row r="386" spans="1:5" ht="12.75" x14ac:dyDescent="0.2">
      <c r="A386" s="1"/>
      <c r="B386" s="1"/>
      <c r="C386" s="1"/>
      <c r="D386" s="1"/>
      <c r="E386" s="1"/>
    </row>
    <row r="387" spans="1:5" ht="12.75" x14ac:dyDescent="0.2">
      <c r="A387" s="1"/>
      <c r="B387" s="1"/>
      <c r="C387" s="1"/>
      <c r="D387" s="1"/>
      <c r="E387" s="1"/>
    </row>
    <row r="388" spans="1:5" ht="12.75" x14ac:dyDescent="0.2">
      <c r="A388" s="1"/>
      <c r="B388" s="1"/>
      <c r="C388" s="1"/>
      <c r="D388" s="1"/>
      <c r="E388" s="1"/>
    </row>
    <row r="389" spans="1:5" ht="12.75" x14ac:dyDescent="0.2">
      <c r="A389" s="1"/>
      <c r="B389" s="1"/>
      <c r="C389" s="1"/>
      <c r="D389" s="1"/>
      <c r="E389" s="1"/>
    </row>
    <row r="390" spans="1:5" ht="12.75" x14ac:dyDescent="0.2">
      <c r="A390" s="1"/>
      <c r="B390" s="1"/>
      <c r="C390" s="1"/>
      <c r="D390" s="1"/>
      <c r="E390" s="1"/>
    </row>
    <row r="391" spans="1:5" ht="12.75" x14ac:dyDescent="0.2">
      <c r="A391" s="1"/>
      <c r="B391" s="1"/>
      <c r="C391" s="1"/>
      <c r="D391" s="1"/>
      <c r="E391" s="1"/>
    </row>
    <row r="392" spans="1:5" ht="12.75" x14ac:dyDescent="0.2">
      <c r="A392" s="1"/>
      <c r="B392" s="1"/>
      <c r="C392" s="1"/>
      <c r="D392" s="1"/>
      <c r="E392" s="1"/>
    </row>
    <row r="393" spans="1:5" ht="12.75" x14ac:dyDescent="0.2">
      <c r="A393" s="1"/>
      <c r="B393" s="1"/>
      <c r="C393" s="1"/>
      <c r="D393" s="1"/>
      <c r="E393" s="1"/>
    </row>
    <row r="394" spans="1:5" ht="12.75" x14ac:dyDescent="0.2">
      <c r="A394" s="1"/>
      <c r="B394" s="1"/>
      <c r="C394" s="1"/>
      <c r="D394" s="1"/>
      <c r="E394" s="1"/>
    </row>
    <row r="395" spans="1:5" ht="12.75" x14ac:dyDescent="0.2">
      <c r="A395" s="1"/>
      <c r="B395" s="1"/>
      <c r="C395" s="1"/>
      <c r="D395" s="1"/>
      <c r="E395" s="1"/>
    </row>
    <row r="396" spans="1:5" ht="12.75" x14ac:dyDescent="0.2">
      <c r="A396" s="1"/>
      <c r="B396" s="1"/>
      <c r="C396" s="1"/>
      <c r="D396" s="1"/>
      <c r="E396" s="1"/>
    </row>
    <row r="397" spans="1:5" ht="12.75" x14ac:dyDescent="0.2">
      <c r="A397" s="1"/>
      <c r="B397" s="1"/>
      <c r="C397" s="1"/>
      <c r="D397" s="1"/>
      <c r="E397" s="1"/>
    </row>
    <row r="398" spans="1:5" ht="12.75" x14ac:dyDescent="0.2">
      <c r="A398" s="1"/>
      <c r="B398" s="1"/>
      <c r="C398" s="1"/>
      <c r="D398" s="1"/>
      <c r="E398" s="1"/>
    </row>
    <row r="399" spans="1:5" ht="12.75" x14ac:dyDescent="0.2">
      <c r="A399" s="1"/>
      <c r="B399" s="1"/>
      <c r="C399" s="1"/>
      <c r="D399" s="1"/>
      <c r="E399" s="1"/>
    </row>
    <row r="400" spans="1:5" ht="12.75" x14ac:dyDescent="0.2">
      <c r="A400" s="1"/>
      <c r="B400" s="1"/>
      <c r="C400" s="1"/>
      <c r="D400" s="1"/>
      <c r="E400" s="1"/>
    </row>
    <row r="401" spans="1:5" ht="12.75" x14ac:dyDescent="0.2">
      <c r="A401" s="1"/>
      <c r="B401" s="1"/>
      <c r="C401" s="1"/>
      <c r="D401" s="1"/>
      <c r="E401" s="1"/>
    </row>
    <row r="402" spans="1:5" ht="12.75" x14ac:dyDescent="0.2">
      <c r="A402" s="1"/>
      <c r="B402" s="1"/>
      <c r="C402" s="1"/>
      <c r="D402" s="1"/>
      <c r="E402" s="1"/>
    </row>
    <row r="403" spans="1:5" ht="12.75" x14ac:dyDescent="0.2">
      <c r="A403" s="1"/>
      <c r="B403" s="1"/>
      <c r="C403" s="1"/>
      <c r="D403" s="1"/>
      <c r="E403" s="1"/>
    </row>
    <row r="404" spans="1:5" ht="12.75" x14ac:dyDescent="0.2">
      <c r="A404" s="1"/>
      <c r="B404" s="1"/>
      <c r="C404" s="1"/>
      <c r="D404" s="1"/>
      <c r="E404" s="1"/>
    </row>
    <row r="405" spans="1:5" ht="12.75" x14ac:dyDescent="0.2">
      <c r="A405" s="1"/>
      <c r="B405" s="1"/>
      <c r="C405" s="1"/>
      <c r="D405" s="1"/>
      <c r="E405" s="1"/>
    </row>
    <row r="406" spans="1:5" ht="12.75" x14ac:dyDescent="0.2">
      <c r="A406" s="1"/>
      <c r="B406" s="1"/>
      <c r="C406" s="1"/>
      <c r="D406" s="1"/>
      <c r="E406" s="1"/>
    </row>
    <row r="407" spans="1:5" ht="12.75" x14ac:dyDescent="0.2">
      <c r="A407" s="1"/>
      <c r="B407" s="1"/>
      <c r="C407" s="1"/>
      <c r="D407" s="1"/>
      <c r="E407" s="1"/>
    </row>
    <row r="408" spans="1:5" ht="12.75" x14ac:dyDescent="0.2">
      <c r="A408" s="1"/>
      <c r="B408" s="1"/>
      <c r="C408" s="1"/>
      <c r="D408" s="1"/>
      <c r="E408" s="1"/>
    </row>
    <row r="409" spans="1:5" ht="12.75" x14ac:dyDescent="0.2">
      <c r="A409" s="1"/>
      <c r="B409" s="1"/>
      <c r="C409" s="1"/>
      <c r="D409" s="1"/>
      <c r="E409" s="1"/>
    </row>
    <row r="410" spans="1:5" ht="12.75" x14ac:dyDescent="0.2">
      <c r="A410" s="1"/>
      <c r="B410" s="1"/>
      <c r="C410" s="1"/>
      <c r="D410" s="1"/>
      <c r="E410" s="1"/>
    </row>
    <row r="411" spans="1:5" ht="12.75" x14ac:dyDescent="0.2">
      <c r="A411" s="1"/>
      <c r="B411" s="1"/>
      <c r="C411" s="1"/>
      <c r="D411" s="1"/>
      <c r="E411" s="1"/>
    </row>
    <row r="412" spans="1:5" ht="12.75" x14ac:dyDescent="0.2">
      <c r="A412" s="1"/>
      <c r="B412" s="1"/>
      <c r="C412" s="1"/>
      <c r="D412" s="1"/>
      <c r="E412" s="1"/>
    </row>
    <row r="413" spans="1:5" ht="12.75" x14ac:dyDescent="0.2">
      <c r="A413" s="1"/>
      <c r="B413" s="1"/>
      <c r="C413" s="1"/>
      <c r="D413" s="1"/>
      <c r="E413" s="1"/>
    </row>
    <row r="414" spans="1:5" ht="12.75" x14ac:dyDescent="0.2">
      <c r="A414" s="1"/>
      <c r="B414" s="1"/>
      <c r="C414" s="1"/>
      <c r="D414" s="1"/>
      <c r="E414" s="1"/>
    </row>
    <row r="415" spans="1:5" ht="12.75" x14ac:dyDescent="0.2">
      <c r="A415" s="1"/>
      <c r="B415" s="1"/>
      <c r="C415" s="1"/>
      <c r="D415" s="1"/>
      <c r="E415" s="1"/>
    </row>
    <row r="416" spans="1:5" ht="12.75" x14ac:dyDescent="0.2">
      <c r="A416" s="1"/>
      <c r="B416" s="1"/>
      <c r="C416" s="1"/>
      <c r="D416" s="1"/>
      <c r="E416" s="1"/>
    </row>
    <row r="417" spans="1:5" ht="12.75" x14ac:dyDescent="0.2">
      <c r="A417" s="1"/>
      <c r="B417" s="1"/>
      <c r="C417" s="1"/>
      <c r="D417" s="1"/>
      <c r="E417" s="1"/>
    </row>
    <row r="418" spans="1:5" ht="12.75" x14ac:dyDescent="0.2">
      <c r="A418" s="1"/>
      <c r="B418" s="1"/>
      <c r="C418" s="1"/>
      <c r="D418" s="1"/>
      <c r="E418" s="1"/>
    </row>
    <row r="419" spans="1:5" ht="12.75" x14ac:dyDescent="0.2">
      <c r="A419" s="1"/>
      <c r="B419" s="1"/>
      <c r="C419" s="1"/>
      <c r="D419" s="1"/>
      <c r="E419" s="1"/>
    </row>
    <row r="420" spans="1:5" ht="12.75" x14ac:dyDescent="0.2">
      <c r="A420" s="1"/>
      <c r="B420" s="1"/>
      <c r="C420" s="1"/>
      <c r="D420" s="1"/>
      <c r="E420" s="1"/>
    </row>
    <row r="421" spans="1:5" ht="12.75" x14ac:dyDescent="0.2">
      <c r="A421" s="1"/>
      <c r="B421" s="1"/>
      <c r="C421" s="1"/>
      <c r="D421" s="1"/>
      <c r="E421" s="1"/>
    </row>
    <row r="422" spans="1:5" ht="12.75" x14ac:dyDescent="0.2">
      <c r="A422" s="1"/>
      <c r="B422" s="1"/>
      <c r="C422" s="1"/>
      <c r="D422" s="1"/>
      <c r="E422" s="1"/>
    </row>
    <row r="423" spans="1:5" ht="12.75" x14ac:dyDescent="0.2">
      <c r="A423" s="1"/>
      <c r="B423" s="1"/>
      <c r="C423" s="1"/>
      <c r="D423" s="1"/>
      <c r="E423" s="1"/>
    </row>
    <row r="424" spans="1:5" ht="12.75" x14ac:dyDescent="0.2">
      <c r="A424" s="1"/>
      <c r="B424" s="1"/>
      <c r="C424" s="1"/>
      <c r="D424" s="1"/>
      <c r="E424" s="1"/>
    </row>
    <row r="425" spans="1:5" ht="12.75" x14ac:dyDescent="0.2">
      <c r="A425" s="1"/>
      <c r="B425" s="1"/>
      <c r="C425" s="1"/>
      <c r="D425" s="1"/>
      <c r="E425" s="1"/>
    </row>
    <row r="426" spans="1:5" ht="12.75" x14ac:dyDescent="0.2">
      <c r="A426" s="1"/>
      <c r="B426" s="1"/>
      <c r="C426" s="1"/>
      <c r="D426" s="1"/>
      <c r="E426" s="1"/>
    </row>
    <row r="427" spans="1:5" ht="12.75" x14ac:dyDescent="0.2">
      <c r="A427" s="1"/>
      <c r="B427" s="1"/>
      <c r="C427" s="1"/>
      <c r="D427" s="1"/>
      <c r="E427" s="1"/>
    </row>
    <row r="428" spans="1:5" ht="12.75" x14ac:dyDescent="0.2">
      <c r="A428" s="1"/>
      <c r="B428" s="1"/>
      <c r="C428" s="1"/>
      <c r="D428" s="1"/>
      <c r="E428" s="1"/>
    </row>
    <row r="429" spans="1:5" ht="12.75" x14ac:dyDescent="0.2">
      <c r="A429" s="1"/>
      <c r="B429" s="1"/>
      <c r="C429" s="1"/>
      <c r="D429" s="1"/>
      <c r="E429" s="1"/>
    </row>
    <row r="430" spans="1:5" ht="12.75" x14ac:dyDescent="0.2">
      <c r="A430" s="1"/>
      <c r="B430" s="1"/>
      <c r="C430" s="1"/>
      <c r="D430" s="1"/>
      <c r="E430" s="1"/>
    </row>
    <row r="431" spans="1:5" ht="12.75" x14ac:dyDescent="0.2">
      <c r="A431" s="1"/>
      <c r="B431" s="1"/>
      <c r="C431" s="1"/>
      <c r="D431" s="1"/>
      <c r="E431" s="1"/>
    </row>
    <row r="432" spans="1:5" ht="12.75" x14ac:dyDescent="0.2">
      <c r="A432" s="1"/>
      <c r="B432" s="1"/>
      <c r="C432" s="1"/>
      <c r="D432" s="1"/>
      <c r="E432" s="1"/>
    </row>
    <row r="433" spans="1:5" ht="12.75" x14ac:dyDescent="0.2">
      <c r="A433" s="1"/>
      <c r="B433" s="1"/>
      <c r="C433" s="1"/>
      <c r="D433" s="1"/>
      <c r="E433" s="1"/>
    </row>
    <row r="434" spans="1:5" ht="12.75" x14ac:dyDescent="0.2">
      <c r="A434" s="1"/>
      <c r="B434" s="1"/>
      <c r="C434" s="1"/>
      <c r="D434" s="1"/>
      <c r="E434" s="1"/>
    </row>
    <row r="435" spans="1:5" ht="12.75" x14ac:dyDescent="0.2">
      <c r="A435" s="1"/>
      <c r="B435" s="1"/>
      <c r="C435" s="1"/>
      <c r="D435" s="1"/>
      <c r="E435" s="1"/>
    </row>
    <row r="436" spans="1:5" ht="12.75" x14ac:dyDescent="0.2">
      <c r="A436" s="1"/>
      <c r="B436" s="1"/>
      <c r="C436" s="1"/>
      <c r="D436" s="1"/>
      <c r="E436" s="1"/>
    </row>
    <row r="437" spans="1:5" ht="12.75" x14ac:dyDescent="0.2">
      <c r="A437" s="1"/>
      <c r="B437" s="1"/>
      <c r="C437" s="1"/>
      <c r="D437" s="1"/>
      <c r="E437" s="1"/>
    </row>
    <row r="438" spans="1:5" ht="12.75" x14ac:dyDescent="0.2">
      <c r="A438" s="1"/>
      <c r="B438" s="1"/>
      <c r="C438" s="1"/>
      <c r="D438" s="1"/>
      <c r="E438" s="1"/>
    </row>
    <row r="439" spans="1:5" ht="12.75" x14ac:dyDescent="0.2">
      <c r="A439" s="1"/>
      <c r="B439" s="1"/>
      <c r="C439" s="1"/>
      <c r="D439" s="1"/>
      <c r="E439" s="1"/>
    </row>
    <row r="440" spans="1:5" ht="12.75" x14ac:dyDescent="0.2">
      <c r="A440" s="1"/>
      <c r="B440" s="1"/>
      <c r="C440" s="1"/>
      <c r="D440" s="1"/>
      <c r="E440" s="1"/>
    </row>
    <row r="441" spans="1:5" ht="12.75" x14ac:dyDescent="0.2">
      <c r="A441" s="1"/>
      <c r="B441" s="1"/>
      <c r="C441" s="1"/>
      <c r="D441" s="1"/>
      <c r="E441" s="1"/>
    </row>
    <row r="442" spans="1:5" ht="12.75" x14ac:dyDescent="0.2">
      <c r="A442" s="1"/>
      <c r="B442" s="1"/>
      <c r="C442" s="1"/>
      <c r="D442" s="1"/>
      <c r="E442" s="1"/>
    </row>
    <row r="443" spans="1:5" ht="12.75" x14ac:dyDescent="0.2">
      <c r="A443" s="1"/>
      <c r="B443" s="1"/>
      <c r="C443" s="1"/>
      <c r="D443" s="1"/>
      <c r="E443" s="1"/>
    </row>
    <row r="444" spans="1:5" ht="12.75" x14ac:dyDescent="0.2">
      <c r="A444" s="1"/>
      <c r="B444" s="1"/>
      <c r="C444" s="1"/>
      <c r="D444" s="1"/>
      <c r="E444" s="1"/>
    </row>
    <row r="445" spans="1:5" ht="12.75" x14ac:dyDescent="0.2">
      <c r="A445" s="1"/>
      <c r="B445" s="1"/>
      <c r="C445" s="1"/>
      <c r="D445" s="1"/>
      <c r="E445" s="1"/>
    </row>
    <row r="446" spans="1:5" ht="12.75" x14ac:dyDescent="0.2">
      <c r="A446" s="1"/>
      <c r="B446" s="1"/>
      <c r="C446" s="1"/>
      <c r="D446" s="1"/>
      <c r="E446" s="1"/>
    </row>
    <row r="447" spans="1:5" ht="12.75" x14ac:dyDescent="0.2">
      <c r="A447" s="1"/>
      <c r="B447" s="1"/>
      <c r="C447" s="1"/>
      <c r="D447" s="1"/>
      <c r="E447" s="1"/>
    </row>
    <row r="448" spans="1:5" ht="12.75" x14ac:dyDescent="0.2">
      <c r="A448" s="1"/>
      <c r="B448" s="1"/>
      <c r="C448" s="1"/>
      <c r="D448" s="1"/>
      <c r="E448" s="1"/>
    </row>
    <row r="449" spans="1:5" ht="12.75" x14ac:dyDescent="0.2">
      <c r="A449" s="1"/>
      <c r="B449" s="1"/>
      <c r="C449" s="1"/>
      <c r="D449" s="1"/>
      <c r="E449" s="1"/>
    </row>
    <row r="450" spans="1:5" ht="12.75" x14ac:dyDescent="0.2">
      <c r="A450" s="1"/>
      <c r="B450" s="1"/>
      <c r="C450" s="1"/>
      <c r="D450" s="1"/>
      <c r="E450" s="1"/>
    </row>
    <row r="451" spans="1:5" ht="12.75" x14ac:dyDescent="0.2">
      <c r="A451" s="1"/>
      <c r="B451" s="1"/>
      <c r="C451" s="1"/>
      <c r="D451" s="1"/>
      <c r="E451" s="1"/>
    </row>
    <row r="452" spans="1:5" ht="12.75" x14ac:dyDescent="0.2">
      <c r="A452" s="1"/>
      <c r="B452" s="1"/>
      <c r="C452" s="1"/>
      <c r="D452" s="1"/>
      <c r="E452" s="1"/>
    </row>
    <row r="453" spans="1:5" ht="12.75" x14ac:dyDescent="0.2">
      <c r="A453" s="1"/>
      <c r="B453" s="1"/>
      <c r="C453" s="1"/>
      <c r="D453" s="1"/>
      <c r="E453" s="1"/>
    </row>
    <row r="454" spans="1:5" ht="12.75" x14ac:dyDescent="0.2">
      <c r="A454" s="1"/>
      <c r="B454" s="1"/>
      <c r="C454" s="1"/>
      <c r="D454" s="1"/>
      <c r="E454" s="1"/>
    </row>
    <row r="455" spans="1:5" ht="12.75" x14ac:dyDescent="0.2">
      <c r="A455" s="1"/>
      <c r="B455" s="1"/>
      <c r="C455" s="1"/>
      <c r="D455" s="1"/>
      <c r="E455" s="1"/>
    </row>
    <row r="456" spans="1:5" ht="12.75" x14ac:dyDescent="0.2">
      <c r="A456" s="1"/>
      <c r="B456" s="1"/>
      <c r="C456" s="1"/>
      <c r="D456" s="1"/>
      <c r="E456" s="1"/>
    </row>
    <row r="457" spans="1:5" ht="12.75" x14ac:dyDescent="0.2">
      <c r="A457" s="1"/>
      <c r="B457" s="1"/>
      <c r="C457" s="1"/>
      <c r="D457" s="1"/>
      <c r="E457" s="1"/>
    </row>
    <row r="458" spans="1:5" ht="12.75" x14ac:dyDescent="0.2">
      <c r="A458" s="1"/>
      <c r="B458" s="1"/>
      <c r="C458" s="1"/>
      <c r="D458" s="1"/>
      <c r="E458" s="1"/>
    </row>
    <row r="459" spans="1:5" ht="12.75" x14ac:dyDescent="0.2">
      <c r="A459" s="1"/>
      <c r="B459" s="1"/>
      <c r="C459" s="1"/>
      <c r="D459" s="1"/>
      <c r="E459" s="1"/>
    </row>
    <row r="460" spans="1:5" ht="12.75" x14ac:dyDescent="0.2">
      <c r="A460" s="1"/>
      <c r="B460" s="1"/>
      <c r="C460" s="1"/>
      <c r="D460" s="1"/>
      <c r="E460" s="1"/>
    </row>
    <row r="461" spans="1:5" ht="12.75" x14ac:dyDescent="0.2">
      <c r="A461" s="1"/>
      <c r="B461" s="1"/>
      <c r="C461" s="1"/>
      <c r="D461" s="1"/>
      <c r="E461" s="1"/>
    </row>
    <row r="462" spans="1:5" ht="12.75" x14ac:dyDescent="0.2">
      <c r="A462" s="1"/>
      <c r="B462" s="1"/>
      <c r="C462" s="1"/>
      <c r="D462" s="1"/>
      <c r="E462" s="1"/>
    </row>
    <row r="463" spans="1:5" ht="12.75" x14ac:dyDescent="0.2">
      <c r="A463" s="1"/>
      <c r="B463" s="1"/>
      <c r="C463" s="1"/>
      <c r="D463" s="1"/>
      <c r="E463" s="1"/>
    </row>
    <row r="464" spans="1:5" ht="12.75" x14ac:dyDescent="0.2">
      <c r="A464" s="1"/>
      <c r="B464" s="1"/>
      <c r="C464" s="1"/>
      <c r="D464" s="1"/>
      <c r="E464" s="1"/>
    </row>
    <row r="465" spans="1:5" ht="12.75" x14ac:dyDescent="0.2">
      <c r="A465" s="1"/>
      <c r="B465" s="1"/>
      <c r="C465" s="1"/>
      <c r="D465" s="1"/>
      <c r="E465" s="1"/>
    </row>
    <row r="466" spans="1:5" ht="12.75" x14ac:dyDescent="0.2">
      <c r="A466" s="1"/>
      <c r="B466" s="1"/>
      <c r="C466" s="1"/>
      <c r="D466" s="1"/>
      <c r="E466" s="1"/>
    </row>
    <row r="467" spans="1:5" ht="12.75" x14ac:dyDescent="0.2">
      <c r="A467" s="1"/>
      <c r="B467" s="1"/>
      <c r="C467" s="1"/>
      <c r="D467" s="1"/>
      <c r="E467" s="1"/>
    </row>
    <row r="468" spans="1:5" ht="12.75" x14ac:dyDescent="0.2">
      <c r="A468" s="1"/>
      <c r="B468" s="1"/>
      <c r="C468" s="1"/>
      <c r="D468" s="1"/>
      <c r="E468" s="1"/>
    </row>
    <row r="469" spans="1:5" ht="12.75" x14ac:dyDescent="0.2">
      <c r="A469" s="1"/>
      <c r="B469" s="1"/>
      <c r="C469" s="1"/>
      <c r="D469" s="1"/>
      <c r="E469" s="1"/>
    </row>
    <row r="470" spans="1:5" ht="12.75" x14ac:dyDescent="0.2">
      <c r="A470" s="1"/>
      <c r="B470" s="1"/>
      <c r="C470" s="1"/>
      <c r="D470" s="1"/>
      <c r="E470" s="1"/>
    </row>
    <row r="471" spans="1:5" ht="12.75" x14ac:dyDescent="0.2">
      <c r="A471" s="1"/>
      <c r="B471" s="1"/>
      <c r="C471" s="1"/>
      <c r="D471" s="1"/>
      <c r="E471" s="1"/>
    </row>
    <row r="472" spans="1:5" ht="12.75" x14ac:dyDescent="0.2">
      <c r="A472" s="1"/>
      <c r="B472" s="1"/>
      <c r="C472" s="1"/>
      <c r="D472" s="1"/>
      <c r="E472" s="1"/>
    </row>
    <row r="473" spans="1:5" ht="12.75" x14ac:dyDescent="0.2">
      <c r="A473" s="1"/>
      <c r="B473" s="1"/>
      <c r="C473" s="1"/>
      <c r="D473" s="1"/>
      <c r="E473" s="1"/>
    </row>
    <row r="474" spans="1:5" ht="12.75" x14ac:dyDescent="0.2">
      <c r="A474" s="1"/>
      <c r="B474" s="1"/>
      <c r="C474" s="1"/>
      <c r="D474" s="1"/>
      <c r="E474" s="1"/>
    </row>
    <row r="475" spans="1:5" ht="12.75" x14ac:dyDescent="0.2">
      <c r="A475" s="1"/>
      <c r="B475" s="1"/>
      <c r="C475" s="1"/>
      <c r="D475" s="1"/>
      <c r="E475" s="1"/>
    </row>
    <row r="476" spans="1:5" ht="12.75" x14ac:dyDescent="0.2">
      <c r="A476" s="1"/>
      <c r="B476" s="1"/>
      <c r="C476" s="1"/>
      <c r="D476" s="1"/>
      <c r="E476" s="1"/>
    </row>
    <row r="477" spans="1:5" ht="12.75" x14ac:dyDescent="0.2">
      <c r="A477" s="1"/>
      <c r="B477" s="1"/>
      <c r="C477" s="1"/>
      <c r="D477" s="1"/>
      <c r="E477" s="1"/>
    </row>
    <row r="478" spans="1:5" ht="12.75" x14ac:dyDescent="0.2">
      <c r="A478" s="1"/>
      <c r="B478" s="1"/>
      <c r="C478" s="1"/>
      <c r="D478" s="1"/>
      <c r="E478" s="1"/>
    </row>
    <row r="479" spans="1:5" ht="12.75" x14ac:dyDescent="0.2">
      <c r="A479" s="1"/>
      <c r="B479" s="1"/>
      <c r="C479" s="1"/>
      <c r="D479" s="1"/>
      <c r="E479" s="1"/>
    </row>
    <row r="480" spans="1:5" ht="12.75" x14ac:dyDescent="0.2">
      <c r="A480" s="1"/>
      <c r="B480" s="1"/>
      <c r="C480" s="1"/>
      <c r="D480" s="1"/>
      <c r="E480" s="1"/>
    </row>
    <row r="481" spans="1:5" ht="12.75" x14ac:dyDescent="0.2">
      <c r="A481" s="1"/>
      <c r="B481" s="1"/>
      <c r="C481" s="1"/>
      <c r="D481" s="1"/>
      <c r="E481" s="1"/>
    </row>
    <row r="482" spans="1:5" ht="12.75" x14ac:dyDescent="0.2">
      <c r="A482" s="1"/>
      <c r="B482" s="1"/>
      <c r="C482" s="1"/>
      <c r="D482" s="1"/>
      <c r="E482" s="1"/>
    </row>
    <row r="483" spans="1:5" ht="12.75" x14ac:dyDescent="0.2">
      <c r="A483" s="1"/>
      <c r="B483" s="1"/>
      <c r="C483" s="1"/>
      <c r="D483" s="1"/>
      <c r="E483" s="1"/>
    </row>
    <row r="484" spans="1:5" ht="12.75" x14ac:dyDescent="0.2">
      <c r="A484" s="1"/>
      <c r="B484" s="1"/>
      <c r="C484" s="1"/>
      <c r="D484" s="1"/>
      <c r="E484" s="1"/>
    </row>
    <row r="485" spans="1:5" ht="12.75" x14ac:dyDescent="0.2">
      <c r="A485" s="1"/>
      <c r="B485" s="1"/>
      <c r="C485" s="1"/>
      <c r="D485" s="1"/>
      <c r="E485" s="1"/>
    </row>
    <row r="486" spans="1:5" ht="12.75" x14ac:dyDescent="0.2">
      <c r="A486" s="1"/>
      <c r="B486" s="1"/>
      <c r="C486" s="1"/>
      <c r="D486" s="1"/>
      <c r="E486" s="1"/>
    </row>
    <row r="487" spans="1:5" ht="12.75" x14ac:dyDescent="0.2">
      <c r="A487" s="1"/>
      <c r="B487" s="1"/>
      <c r="C487" s="1"/>
      <c r="D487" s="1"/>
      <c r="E487" s="1"/>
    </row>
    <row r="488" spans="1:5" ht="12.75" x14ac:dyDescent="0.2">
      <c r="A488" s="1"/>
      <c r="B488" s="1"/>
      <c r="C488" s="1"/>
      <c r="D488" s="1"/>
      <c r="E488" s="1"/>
    </row>
    <row r="489" spans="1:5" ht="12.75" x14ac:dyDescent="0.2">
      <c r="A489" s="1"/>
      <c r="B489" s="1"/>
      <c r="C489" s="1"/>
      <c r="D489" s="1"/>
      <c r="E489" s="1"/>
    </row>
    <row r="490" spans="1:5" ht="12.75" x14ac:dyDescent="0.2">
      <c r="A490" s="1"/>
      <c r="B490" s="1"/>
      <c r="C490" s="1"/>
      <c r="D490" s="1"/>
      <c r="E490" s="1"/>
    </row>
    <row r="491" spans="1:5" ht="12.75" x14ac:dyDescent="0.2">
      <c r="A491" s="1"/>
      <c r="B491" s="1"/>
      <c r="C491" s="1"/>
      <c r="D491" s="1"/>
      <c r="E491" s="1"/>
    </row>
    <row r="492" spans="1:5" ht="12.75" x14ac:dyDescent="0.2">
      <c r="A492" s="1"/>
      <c r="B492" s="1"/>
      <c r="C492" s="1"/>
      <c r="D492" s="1"/>
      <c r="E492" s="1"/>
    </row>
    <row r="493" spans="1:5" ht="12.75" x14ac:dyDescent="0.2">
      <c r="A493" s="1"/>
      <c r="B493" s="1"/>
      <c r="C493" s="1"/>
      <c r="D493" s="1"/>
      <c r="E493" s="1"/>
    </row>
    <row r="494" spans="1:5" ht="12.75" x14ac:dyDescent="0.2">
      <c r="A494" s="1"/>
      <c r="B494" s="1"/>
      <c r="C494" s="1"/>
      <c r="D494" s="1"/>
      <c r="E494" s="1"/>
    </row>
    <row r="495" spans="1:5" ht="12.75" x14ac:dyDescent="0.2">
      <c r="A495" s="1"/>
      <c r="B495" s="1"/>
      <c r="C495" s="1"/>
      <c r="D495" s="1"/>
      <c r="E495" s="1"/>
    </row>
    <row r="496" spans="1:5" ht="12.75" x14ac:dyDescent="0.2">
      <c r="A496" s="1"/>
      <c r="B496" s="1"/>
      <c r="C496" s="1"/>
      <c r="D496" s="1"/>
      <c r="E496" s="1"/>
    </row>
    <row r="497" spans="1:5" ht="12.75" x14ac:dyDescent="0.2">
      <c r="A497" s="1"/>
      <c r="B497" s="1"/>
      <c r="C497" s="1"/>
      <c r="D497" s="1"/>
      <c r="E497" s="1"/>
    </row>
    <row r="498" spans="1:5" ht="12.75" x14ac:dyDescent="0.2">
      <c r="A498" s="1"/>
      <c r="B498" s="1"/>
      <c r="C498" s="1"/>
      <c r="D498" s="1"/>
      <c r="E498" s="1"/>
    </row>
    <row r="499" spans="1:5" ht="12.75" x14ac:dyDescent="0.2">
      <c r="A499" s="1"/>
      <c r="B499" s="1"/>
      <c r="C499" s="1"/>
      <c r="D499" s="1"/>
      <c r="E499" s="1"/>
    </row>
    <row r="500" spans="1:5" ht="12.75" x14ac:dyDescent="0.2">
      <c r="A500" s="1"/>
      <c r="B500" s="1"/>
      <c r="C500" s="1"/>
      <c r="D500" s="1"/>
      <c r="E500" s="1"/>
    </row>
    <row r="501" spans="1:5" ht="12.75" x14ac:dyDescent="0.2">
      <c r="A501" s="1"/>
      <c r="B501" s="1"/>
      <c r="C501" s="1"/>
      <c r="D501" s="1"/>
      <c r="E501" s="1"/>
    </row>
    <row r="502" spans="1:5" ht="12.75" x14ac:dyDescent="0.2">
      <c r="A502" s="1"/>
      <c r="B502" s="1"/>
      <c r="C502" s="1"/>
      <c r="D502" s="1"/>
      <c r="E502" s="1"/>
    </row>
    <row r="503" spans="1:5" ht="12.75" x14ac:dyDescent="0.2">
      <c r="A503" s="1"/>
      <c r="B503" s="1"/>
      <c r="C503" s="1"/>
      <c r="D503" s="1"/>
      <c r="E503" s="1"/>
    </row>
    <row r="504" spans="1:5" ht="12.75" x14ac:dyDescent="0.2">
      <c r="A504" s="1"/>
      <c r="B504" s="1"/>
      <c r="C504" s="1"/>
      <c r="D504" s="1"/>
      <c r="E504" s="1"/>
    </row>
    <row r="505" spans="1:5" ht="12.75" x14ac:dyDescent="0.2">
      <c r="A505" s="1"/>
      <c r="B505" s="1"/>
      <c r="C505" s="1"/>
      <c r="D505" s="1"/>
      <c r="E505" s="1"/>
    </row>
    <row r="506" spans="1:5" ht="12.75" x14ac:dyDescent="0.2">
      <c r="A506" s="1"/>
      <c r="B506" s="1"/>
      <c r="C506" s="1"/>
      <c r="D506" s="1"/>
      <c r="E506" s="1"/>
    </row>
    <row r="507" spans="1:5" ht="12.75" x14ac:dyDescent="0.2">
      <c r="A507" s="1"/>
      <c r="B507" s="1"/>
      <c r="C507" s="1"/>
      <c r="D507" s="1"/>
      <c r="E507" s="1"/>
    </row>
    <row r="508" spans="1:5" ht="12.75" x14ac:dyDescent="0.2">
      <c r="A508" s="1"/>
      <c r="B508" s="1"/>
      <c r="C508" s="1"/>
      <c r="D508" s="1"/>
      <c r="E508" s="1"/>
    </row>
    <row r="509" spans="1:5" ht="12.75" x14ac:dyDescent="0.2">
      <c r="A509" s="1"/>
      <c r="B509" s="1"/>
      <c r="C509" s="1"/>
      <c r="D509" s="1"/>
      <c r="E509" s="1"/>
    </row>
    <row r="510" spans="1:5" ht="12.75" x14ac:dyDescent="0.2">
      <c r="A510" s="1"/>
      <c r="B510" s="1"/>
      <c r="C510" s="1"/>
      <c r="D510" s="1"/>
      <c r="E510" s="1"/>
    </row>
    <row r="511" spans="1:5" ht="12.75" x14ac:dyDescent="0.2">
      <c r="A511" s="1"/>
      <c r="B511" s="1"/>
      <c r="C511" s="1"/>
      <c r="D511" s="1"/>
      <c r="E511" s="1"/>
    </row>
    <row r="512" spans="1:5" ht="12.75" x14ac:dyDescent="0.2">
      <c r="A512" s="1"/>
      <c r="B512" s="1"/>
      <c r="C512" s="1"/>
      <c r="D512" s="1"/>
      <c r="E512" s="1"/>
    </row>
    <row r="513" spans="1:5" ht="12.75" x14ac:dyDescent="0.2">
      <c r="A513" s="1"/>
      <c r="B513" s="1"/>
      <c r="C513" s="1"/>
      <c r="D513" s="1"/>
      <c r="E513" s="1"/>
    </row>
    <row r="514" spans="1:5" ht="12.75" x14ac:dyDescent="0.2">
      <c r="A514" s="1"/>
      <c r="B514" s="1"/>
      <c r="C514" s="1"/>
      <c r="D514" s="1"/>
      <c r="E514" s="1"/>
    </row>
    <row r="515" spans="1:5" ht="12.75" x14ac:dyDescent="0.2">
      <c r="A515" s="1"/>
      <c r="B515" s="1"/>
      <c r="C515" s="1"/>
      <c r="D515" s="1"/>
      <c r="E515" s="1"/>
    </row>
    <row r="516" spans="1:5" ht="12.75" x14ac:dyDescent="0.2">
      <c r="A516" s="1"/>
      <c r="B516" s="1"/>
      <c r="C516" s="1"/>
      <c r="D516" s="1"/>
      <c r="E516" s="1"/>
    </row>
    <row r="517" spans="1:5" ht="12.75" x14ac:dyDescent="0.2">
      <c r="A517" s="1"/>
      <c r="B517" s="1"/>
      <c r="C517" s="1"/>
      <c r="D517" s="1"/>
      <c r="E517" s="1"/>
    </row>
    <row r="518" spans="1:5" ht="12.75" x14ac:dyDescent="0.2">
      <c r="A518" s="1"/>
      <c r="B518" s="1"/>
      <c r="C518" s="1"/>
      <c r="D518" s="1"/>
      <c r="E518" s="1"/>
    </row>
    <row r="519" spans="1:5" ht="12.75" x14ac:dyDescent="0.2">
      <c r="A519" s="1"/>
      <c r="B519" s="1"/>
      <c r="C519" s="1"/>
      <c r="D519" s="1"/>
      <c r="E519" s="1"/>
    </row>
    <row r="520" spans="1:5" ht="12.75" x14ac:dyDescent="0.2">
      <c r="A520" s="1"/>
      <c r="B520" s="1"/>
      <c r="C520" s="1"/>
      <c r="D520" s="1"/>
      <c r="E520" s="1"/>
    </row>
    <row r="521" spans="1:5" ht="12.75" x14ac:dyDescent="0.2">
      <c r="A521" s="1"/>
      <c r="B521" s="1"/>
      <c r="C521" s="1"/>
      <c r="D521" s="1"/>
      <c r="E521" s="1"/>
    </row>
    <row r="522" spans="1:5" ht="12.75" x14ac:dyDescent="0.2">
      <c r="A522" s="1"/>
      <c r="B522" s="1"/>
      <c r="C522" s="1"/>
      <c r="D522" s="1"/>
      <c r="E522" s="1"/>
    </row>
    <row r="523" spans="1:5" ht="12.75" x14ac:dyDescent="0.2">
      <c r="A523" s="1"/>
      <c r="B523" s="1"/>
      <c r="C523" s="1"/>
      <c r="D523" s="1"/>
      <c r="E523" s="1"/>
    </row>
    <row r="524" spans="1:5" ht="12.75" x14ac:dyDescent="0.2">
      <c r="A524" s="1"/>
      <c r="B524" s="1"/>
      <c r="C524" s="1"/>
      <c r="D524" s="1"/>
      <c r="E524" s="1"/>
    </row>
    <row r="525" spans="1:5" ht="12.75" x14ac:dyDescent="0.2">
      <c r="A525" s="1"/>
      <c r="B525" s="1"/>
      <c r="C525" s="1"/>
      <c r="D525" s="1"/>
      <c r="E525" s="1"/>
    </row>
    <row r="526" spans="1:5" ht="12.75" x14ac:dyDescent="0.2">
      <c r="A526" s="1"/>
      <c r="B526" s="1"/>
      <c r="C526" s="1"/>
      <c r="D526" s="1"/>
      <c r="E526" s="1"/>
    </row>
    <row r="527" spans="1:5" ht="12.75" x14ac:dyDescent="0.2">
      <c r="A527" s="1"/>
      <c r="B527" s="1"/>
      <c r="C527" s="1"/>
      <c r="D527" s="1"/>
      <c r="E527" s="1"/>
    </row>
    <row r="528" spans="1:5" ht="12.75" x14ac:dyDescent="0.2">
      <c r="A528" s="1"/>
      <c r="B528" s="1"/>
      <c r="C528" s="1"/>
      <c r="D528" s="1"/>
      <c r="E528" s="1"/>
    </row>
    <row r="529" spans="1:5" ht="12.75" x14ac:dyDescent="0.2">
      <c r="A529" s="1"/>
      <c r="B529" s="1"/>
      <c r="C529" s="1"/>
      <c r="D529" s="1"/>
      <c r="E529" s="1"/>
    </row>
    <row r="530" spans="1:5" ht="12.75" x14ac:dyDescent="0.2">
      <c r="A530" s="1"/>
      <c r="B530" s="1"/>
      <c r="C530" s="1"/>
      <c r="D530" s="1"/>
      <c r="E530" s="1"/>
    </row>
    <row r="531" spans="1:5" ht="12.75" x14ac:dyDescent="0.2">
      <c r="A531" s="1"/>
      <c r="B531" s="1"/>
      <c r="C531" s="1"/>
      <c r="D531" s="1"/>
      <c r="E531" s="1"/>
    </row>
    <row r="532" spans="1:5" ht="12.75" x14ac:dyDescent="0.2">
      <c r="A532" s="1"/>
      <c r="B532" s="1"/>
      <c r="C532" s="1"/>
      <c r="D532" s="1"/>
      <c r="E532" s="1"/>
    </row>
    <row r="533" spans="1:5" ht="12.75" x14ac:dyDescent="0.2">
      <c r="A533" s="1"/>
      <c r="B533" s="1"/>
      <c r="C533" s="1"/>
      <c r="D533" s="1"/>
      <c r="E533" s="1"/>
    </row>
    <row r="534" spans="1:5" ht="12.75" x14ac:dyDescent="0.2">
      <c r="A534" s="1"/>
      <c r="B534" s="1"/>
      <c r="C534" s="1"/>
      <c r="D534" s="1"/>
      <c r="E534" s="1"/>
    </row>
    <row r="535" spans="1:5" ht="12.75" x14ac:dyDescent="0.2">
      <c r="A535" s="1"/>
      <c r="B535" s="1"/>
      <c r="C535" s="1"/>
      <c r="D535" s="1"/>
      <c r="E535" s="1"/>
    </row>
    <row r="536" spans="1:5" ht="12.75" x14ac:dyDescent="0.2">
      <c r="A536" s="1"/>
      <c r="B536" s="1"/>
      <c r="C536" s="1"/>
      <c r="D536" s="1"/>
      <c r="E536" s="1"/>
    </row>
    <row r="537" spans="1:5" ht="12.75" x14ac:dyDescent="0.2">
      <c r="A537" s="1"/>
      <c r="B537" s="1"/>
      <c r="C537" s="1"/>
      <c r="D537" s="1"/>
      <c r="E537" s="1"/>
    </row>
    <row r="538" spans="1:5" ht="12.75" x14ac:dyDescent="0.2">
      <c r="A538" s="1"/>
      <c r="B538" s="1"/>
      <c r="C538" s="1"/>
      <c r="D538" s="1"/>
      <c r="E538" s="1"/>
    </row>
    <row r="539" spans="1:5" ht="15.75" customHeight="1" x14ac:dyDescent="0.2">
      <c r="A539" s="1"/>
      <c r="B539" s="1"/>
      <c r="C539" s="1"/>
      <c r="D539" s="1"/>
      <c r="E539" s="1"/>
    </row>
    <row r="540" spans="1:5" ht="15.75" customHeight="1" x14ac:dyDescent="0.2">
      <c r="A540" s="1"/>
      <c r="B540" s="1"/>
      <c r="C540" s="1"/>
      <c r="D540" s="1"/>
      <c r="E540" s="1"/>
    </row>
    <row r="541" spans="1:5" ht="15.75" customHeight="1" x14ac:dyDescent="0.2">
      <c r="A541" s="1"/>
      <c r="B541" s="1"/>
      <c r="C541" s="1"/>
      <c r="D541" s="1"/>
      <c r="E541" s="1"/>
    </row>
    <row r="542" spans="1:5" ht="15.75" customHeight="1" x14ac:dyDescent="0.2">
      <c r="A542" s="1"/>
      <c r="B542" s="1"/>
      <c r="C542" s="1"/>
      <c r="D542" s="1"/>
      <c r="E542" s="1"/>
    </row>
    <row r="543" spans="1:5" ht="15.75" customHeight="1" x14ac:dyDescent="0.2">
      <c r="A543" s="1"/>
      <c r="B543" s="1"/>
      <c r="C543" s="1"/>
      <c r="D543" s="1"/>
      <c r="E543" s="1"/>
    </row>
    <row r="544" spans="1:5" ht="15.75" customHeight="1" x14ac:dyDescent="0.2">
      <c r="A544" s="1"/>
      <c r="B544" s="1"/>
      <c r="C544" s="1"/>
      <c r="D544" s="1"/>
      <c r="E544" s="1"/>
    </row>
    <row r="545" spans="1:5" ht="15.75" customHeight="1" x14ac:dyDescent="0.2">
      <c r="A545" s="1"/>
      <c r="B545" s="1"/>
      <c r="C545" s="1"/>
      <c r="D545" s="1"/>
      <c r="E545" s="1"/>
    </row>
    <row r="546" spans="1:5" ht="15.75" customHeight="1" x14ac:dyDescent="0.2">
      <c r="A546" s="1"/>
      <c r="B546" s="1"/>
      <c r="C546" s="1"/>
      <c r="D546" s="1"/>
      <c r="E546" s="1"/>
    </row>
    <row r="547" spans="1:5" ht="15.75" customHeight="1" x14ac:dyDescent="0.2">
      <c r="A547" s="1"/>
      <c r="B547" s="1"/>
      <c r="C547" s="1"/>
      <c r="D547" s="1"/>
      <c r="E547" s="1"/>
    </row>
    <row r="548" spans="1:5" ht="15.75" customHeight="1" x14ac:dyDescent="0.2">
      <c r="A548" s="1"/>
      <c r="B548" s="1"/>
      <c r="C548" s="1"/>
      <c r="D548" s="1"/>
      <c r="E548" s="1"/>
    </row>
    <row r="549" spans="1:5" ht="15.75" customHeight="1" x14ac:dyDescent="0.2">
      <c r="A549" s="1"/>
      <c r="B549" s="1"/>
      <c r="C549" s="1"/>
      <c r="D549" s="1"/>
      <c r="E549" s="1"/>
    </row>
    <row r="550" spans="1:5" ht="15.75" customHeight="1" x14ac:dyDescent="0.2">
      <c r="A550" s="1"/>
      <c r="B550" s="1"/>
      <c r="C550" s="1"/>
      <c r="D550" s="1"/>
      <c r="E550" s="1"/>
    </row>
    <row r="551" spans="1:5" ht="15.75" customHeight="1" x14ac:dyDescent="0.2">
      <c r="A551" s="1"/>
      <c r="B551" s="1"/>
      <c r="C551" s="1"/>
      <c r="D551" s="1"/>
      <c r="E551" s="1"/>
    </row>
    <row r="552" spans="1:5" ht="15.75" customHeight="1" x14ac:dyDescent="0.2">
      <c r="A552" s="1"/>
      <c r="B552" s="1"/>
      <c r="C552" s="1"/>
      <c r="D552" s="1"/>
      <c r="E552" s="1"/>
    </row>
    <row r="553" spans="1:5" ht="15.75" customHeight="1" x14ac:dyDescent="0.2">
      <c r="A553" s="1"/>
      <c r="B553" s="1"/>
      <c r="C553" s="1"/>
      <c r="D553" s="1"/>
      <c r="E553" s="1"/>
    </row>
    <row r="554" spans="1:5" ht="15.75" customHeight="1" x14ac:dyDescent="0.2">
      <c r="A554" s="1"/>
      <c r="B554" s="1"/>
      <c r="C554" s="1"/>
      <c r="D554" s="1"/>
      <c r="E554" s="1"/>
    </row>
    <row r="555" spans="1:5" ht="15.75" customHeight="1" x14ac:dyDescent="0.2">
      <c r="A555" s="1"/>
      <c r="B555" s="1"/>
      <c r="C555" s="1"/>
      <c r="D555" s="1"/>
      <c r="E555" s="1"/>
    </row>
    <row r="556" spans="1:5" ht="15.75" customHeight="1" x14ac:dyDescent="0.2">
      <c r="A556" s="1"/>
      <c r="B556" s="1"/>
      <c r="C556" s="1"/>
      <c r="D556" s="1"/>
      <c r="E556" s="1"/>
    </row>
    <row r="557" spans="1:5" ht="15.75" customHeight="1" x14ac:dyDescent="0.2">
      <c r="A557" s="1"/>
      <c r="B557" s="1"/>
      <c r="C557" s="1"/>
      <c r="D557" s="1"/>
      <c r="E557" s="1"/>
    </row>
    <row r="558" spans="1:5" ht="15.75" customHeight="1" x14ac:dyDescent="0.2">
      <c r="A558" s="1"/>
      <c r="B558" s="1"/>
      <c r="C558" s="1"/>
      <c r="D558" s="1"/>
      <c r="E558" s="1"/>
    </row>
    <row r="559" spans="1:5" ht="15.75" customHeight="1" x14ac:dyDescent="0.2">
      <c r="A559" s="1"/>
      <c r="B559" s="1"/>
      <c r="C559" s="1"/>
      <c r="D559" s="1"/>
      <c r="E559" s="1"/>
    </row>
    <row r="560" spans="1:5" ht="15.75" customHeight="1" x14ac:dyDescent="0.2">
      <c r="A560" s="1"/>
      <c r="B560" s="1"/>
      <c r="C560" s="1"/>
      <c r="D560" s="1"/>
      <c r="E560" s="1"/>
    </row>
    <row r="561" spans="1:5" ht="15.75" customHeight="1" x14ac:dyDescent="0.2">
      <c r="A561" s="1"/>
      <c r="B561" s="1"/>
      <c r="C561" s="1"/>
      <c r="D561" s="1"/>
      <c r="E561" s="1"/>
    </row>
    <row r="562" spans="1:5" ht="15.75" customHeight="1" x14ac:dyDescent="0.2">
      <c r="A562" s="1"/>
      <c r="B562" s="1"/>
      <c r="C562" s="1"/>
      <c r="D562" s="1"/>
      <c r="E562" s="1"/>
    </row>
  </sheetData>
  <autoFilter ref="A2:G187" xr:uid="{00000000-0009-0000-0000-000004000000}">
    <filterColumn colId="0">
      <iconFilter iconSet="3Arrows"/>
    </filterColumn>
  </autoFilter>
  <sortState ref="B152:B187">
    <sortCondition ref="B153:B187"/>
  </sortState>
  <mergeCells count="4">
    <mergeCell ref="A1:F1"/>
    <mergeCell ref="A3:F3"/>
    <mergeCell ref="A73:F73"/>
    <mergeCell ref="A148:F14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G65"/>
  <sheetViews>
    <sheetView zoomScaleNormal="100" workbookViewId="0">
      <selection activeCell="E56" sqref="E56"/>
    </sheetView>
  </sheetViews>
  <sheetFormatPr defaultColWidth="8.85546875" defaultRowHeight="12.75" x14ac:dyDescent="0.2"/>
  <cols>
    <col min="2" max="2" width="10.28515625" customWidth="1"/>
    <col min="3" max="3" width="13.85546875" customWidth="1"/>
    <col min="4" max="4" width="12.42578125" customWidth="1"/>
    <col min="5" max="5" width="14.5703125" customWidth="1"/>
    <col min="6" max="6" width="10.85546875" customWidth="1"/>
    <col min="7" max="7" width="12.140625" customWidth="1"/>
  </cols>
  <sheetData>
    <row r="1" spans="1:7" ht="18" x14ac:dyDescent="0.25">
      <c r="A1" s="295" t="s">
        <v>46</v>
      </c>
      <c r="B1" s="296"/>
      <c r="C1" s="296"/>
      <c r="D1" s="296"/>
      <c r="E1" s="296"/>
      <c r="F1" s="18" t="s">
        <v>104</v>
      </c>
    </row>
    <row r="2" spans="1:7" x14ac:dyDescent="0.2">
      <c r="A2" s="297" t="s">
        <v>372</v>
      </c>
      <c r="B2" s="298"/>
      <c r="C2" s="298"/>
      <c r="D2" s="298"/>
      <c r="E2" s="298"/>
      <c r="F2" s="332" t="s">
        <v>373</v>
      </c>
      <c r="G2" s="160"/>
    </row>
    <row r="3" spans="1:7" x14ac:dyDescent="0.2">
      <c r="A3" s="10" t="s">
        <v>6</v>
      </c>
      <c r="B3" s="10" t="s">
        <v>7</v>
      </c>
      <c r="C3" s="10" t="s">
        <v>11</v>
      </c>
      <c r="D3" s="10" t="s">
        <v>12</v>
      </c>
      <c r="E3" s="2" t="s">
        <v>10</v>
      </c>
      <c r="F3" s="2" t="s">
        <v>31</v>
      </c>
      <c r="G3" s="160"/>
    </row>
    <row r="4" spans="1:7" x14ac:dyDescent="0.2">
      <c r="A4" s="5">
        <v>1</v>
      </c>
      <c r="B4" s="5">
        <v>29.9</v>
      </c>
      <c r="C4" s="6">
        <f>D4/B4</f>
        <v>204657.19063545152</v>
      </c>
      <c r="D4" s="6">
        <v>6119250</v>
      </c>
      <c r="E4" s="5">
        <v>2</v>
      </c>
      <c r="F4" s="5">
        <v>1</v>
      </c>
      <c r="G4" s="160">
        <f>F4*D4</f>
        <v>6119250</v>
      </c>
    </row>
    <row r="5" spans="1:7" x14ac:dyDescent="0.2">
      <c r="A5" s="5">
        <v>1</v>
      </c>
      <c r="B5" s="5">
        <v>29.9</v>
      </c>
      <c r="C5" s="6">
        <f>D5/B5</f>
        <v>239598.66220735788</v>
      </c>
      <c r="D5" s="6">
        <v>7164000</v>
      </c>
      <c r="E5" s="5">
        <v>3</v>
      </c>
      <c r="F5" s="5">
        <v>1</v>
      </c>
      <c r="G5" s="160">
        <f>F5*D5</f>
        <v>7164000</v>
      </c>
    </row>
    <row r="6" spans="1:7" x14ac:dyDescent="0.2">
      <c r="A6" s="5">
        <v>1</v>
      </c>
      <c r="B6" s="5">
        <v>29.9</v>
      </c>
      <c r="C6" s="6">
        <f>D6/B6</f>
        <v>244590.3010033445</v>
      </c>
      <c r="D6" s="6">
        <v>7313250</v>
      </c>
      <c r="E6" s="5">
        <v>4</v>
      </c>
      <c r="F6" s="5">
        <v>1</v>
      </c>
      <c r="G6" s="160">
        <f>F6*D6</f>
        <v>7313250</v>
      </c>
    </row>
    <row r="7" spans="1:7" x14ac:dyDescent="0.2">
      <c r="A7" s="5">
        <v>1</v>
      </c>
      <c r="B7" s="5">
        <v>29.9</v>
      </c>
      <c r="C7" s="6">
        <f>D7/B7</f>
        <v>249581.93979933113</v>
      </c>
      <c r="D7" s="6">
        <v>7462500</v>
      </c>
      <c r="E7" s="5">
        <v>5</v>
      </c>
      <c r="F7" s="5">
        <v>1</v>
      </c>
      <c r="G7" s="160">
        <f>F7*D7</f>
        <v>7462500</v>
      </c>
    </row>
    <row r="8" spans="1:7" x14ac:dyDescent="0.2">
      <c r="A8" s="5">
        <v>1</v>
      </c>
      <c r="B8" s="5">
        <v>29.9</v>
      </c>
      <c r="C8" s="6">
        <f>D8/B8</f>
        <v>254573.57859531773</v>
      </c>
      <c r="D8" s="6">
        <v>7611750</v>
      </c>
      <c r="E8" s="5">
        <v>6</v>
      </c>
      <c r="F8" s="5">
        <v>1</v>
      </c>
      <c r="G8" s="160">
        <f>F8*D8</f>
        <v>7611750</v>
      </c>
    </row>
    <row r="9" spans="1:7" x14ac:dyDescent="0.2">
      <c r="A9" s="5">
        <v>1</v>
      </c>
      <c r="B9" s="5">
        <v>29.9</v>
      </c>
      <c r="C9" s="6">
        <f>D9/B9</f>
        <v>259565.21739130435</v>
      </c>
      <c r="D9" s="6">
        <v>7761000</v>
      </c>
      <c r="E9" s="5">
        <v>7</v>
      </c>
      <c r="F9" s="5">
        <v>1</v>
      </c>
      <c r="G9" s="160">
        <f>F9*D9</f>
        <v>7761000</v>
      </c>
    </row>
    <row r="10" spans="1:7" x14ac:dyDescent="0.2">
      <c r="A10" s="5">
        <v>1</v>
      </c>
      <c r="B10" s="5">
        <v>29.9</v>
      </c>
      <c r="C10" s="6">
        <f>D10/B10</f>
        <v>269548.49498327763</v>
      </c>
      <c r="D10" s="6">
        <v>8059500</v>
      </c>
      <c r="E10" s="5">
        <v>8</v>
      </c>
      <c r="F10" s="5">
        <v>1</v>
      </c>
      <c r="G10" s="160">
        <f>F10*D10</f>
        <v>8059500</v>
      </c>
    </row>
    <row r="11" spans="1:7" x14ac:dyDescent="0.2">
      <c r="A11" s="5">
        <v>1</v>
      </c>
      <c r="B11" s="5">
        <v>41</v>
      </c>
      <c r="C11" s="6">
        <f>D11/B11</f>
        <v>199756.09756097561</v>
      </c>
      <c r="D11" s="6">
        <v>8190000</v>
      </c>
      <c r="E11" s="5">
        <v>2</v>
      </c>
      <c r="F11" s="5">
        <v>1</v>
      </c>
      <c r="G11" s="160">
        <f>F11*D11</f>
        <v>8190000</v>
      </c>
    </row>
    <row r="12" spans="1:7" x14ac:dyDescent="0.2">
      <c r="A12" s="5">
        <v>1</v>
      </c>
      <c r="B12" s="5">
        <v>41</v>
      </c>
      <c r="C12" s="6">
        <f>D12/B12</f>
        <v>234713.41463414635</v>
      </c>
      <c r="D12" s="6">
        <v>9623250</v>
      </c>
      <c r="E12" s="5">
        <v>3</v>
      </c>
      <c r="F12" s="5">
        <v>1</v>
      </c>
      <c r="G12" s="160">
        <f>F12*D12</f>
        <v>9623250</v>
      </c>
    </row>
    <row r="13" spans="1:7" x14ac:dyDescent="0.2">
      <c r="A13" s="5">
        <v>1</v>
      </c>
      <c r="B13" s="5">
        <v>41</v>
      </c>
      <c r="C13" s="6">
        <f>D13/B13</f>
        <v>239707.31707317074</v>
      </c>
      <c r="D13" s="6">
        <v>9828000</v>
      </c>
      <c r="E13" s="5">
        <v>4</v>
      </c>
      <c r="F13" s="5">
        <v>1</v>
      </c>
      <c r="G13" s="160">
        <f>F13*D13</f>
        <v>9828000</v>
      </c>
    </row>
    <row r="14" spans="1:7" x14ac:dyDescent="0.2">
      <c r="A14" s="5">
        <v>1</v>
      </c>
      <c r="B14" s="5">
        <v>41</v>
      </c>
      <c r="C14" s="6">
        <f>D14/B14</f>
        <v>244701.21951219512</v>
      </c>
      <c r="D14" s="6">
        <v>10032750</v>
      </c>
      <c r="E14" s="5">
        <v>5</v>
      </c>
      <c r="F14" s="5">
        <v>1</v>
      </c>
      <c r="G14" s="160">
        <f>F14*D14</f>
        <v>10032750</v>
      </c>
    </row>
    <row r="15" spans="1:7" x14ac:dyDescent="0.2">
      <c r="A15" s="5">
        <v>1</v>
      </c>
      <c r="B15" s="5">
        <v>41</v>
      </c>
      <c r="C15" s="6">
        <f>D15/B15</f>
        <v>249695.12195121951</v>
      </c>
      <c r="D15" s="6">
        <v>10237500</v>
      </c>
      <c r="E15" s="5">
        <v>6</v>
      </c>
      <c r="F15" s="5">
        <v>1</v>
      </c>
      <c r="G15" s="160">
        <f>F15*D15</f>
        <v>10237500</v>
      </c>
    </row>
    <row r="16" spans="1:7" x14ac:dyDescent="0.2">
      <c r="A16" s="5">
        <v>1</v>
      </c>
      <c r="B16" s="5">
        <v>41</v>
      </c>
      <c r="C16" s="6">
        <f>D16/B16</f>
        <v>254689.0243902439</v>
      </c>
      <c r="D16" s="6">
        <v>10442250</v>
      </c>
      <c r="E16" s="5">
        <v>7</v>
      </c>
      <c r="F16" s="5">
        <v>1</v>
      </c>
      <c r="G16" s="160">
        <f>F16*D16</f>
        <v>10442250</v>
      </c>
    </row>
    <row r="17" spans="1:7" x14ac:dyDescent="0.2">
      <c r="A17" s="5">
        <v>1</v>
      </c>
      <c r="B17" s="5">
        <v>41</v>
      </c>
      <c r="C17" s="6">
        <f>D17/B17</f>
        <v>259682.92682926828</v>
      </c>
      <c r="D17" s="6">
        <v>10647000</v>
      </c>
      <c r="E17" s="5">
        <v>8</v>
      </c>
      <c r="F17" s="5">
        <v>1</v>
      </c>
      <c r="G17" s="160">
        <f>F17*D17</f>
        <v>10647000</v>
      </c>
    </row>
    <row r="18" spans="1:7" x14ac:dyDescent="0.2">
      <c r="A18" s="5">
        <v>1</v>
      </c>
      <c r="B18" s="5">
        <v>46.4</v>
      </c>
      <c r="C18" s="6">
        <f>D18/B18</f>
        <v>198957.11206896554</v>
      </c>
      <c r="D18" s="6">
        <v>9231610</v>
      </c>
      <c r="E18" s="5">
        <v>2</v>
      </c>
      <c r="F18" s="5">
        <v>1</v>
      </c>
      <c r="G18" s="160">
        <f>F18*D18</f>
        <v>9231610</v>
      </c>
    </row>
    <row r="19" spans="1:7" x14ac:dyDescent="0.2">
      <c r="A19" s="5">
        <v>1</v>
      </c>
      <c r="B19" s="5">
        <v>46.4</v>
      </c>
      <c r="C19" s="6">
        <f>D19/B19</f>
        <v>234949.35344827586</v>
      </c>
      <c r="D19" s="6">
        <v>10901650</v>
      </c>
      <c r="E19" s="5">
        <v>3</v>
      </c>
      <c r="F19" s="5">
        <v>1</v>
      </c>
      <c r="G19" s="160">
        <f>F19*D19</f>
        <v>10901650</v>
      </c>
    </row>
    <row r="20" spans="1:7" x14ac:dyDescent="0.2">
      <c r="A20" s="5">
        <v>1</v>
      </c>
      <c r="B20" s="5">
        <v>46.4</v>
      </c>
      <c r="C20" s="6">
        <f>D20/B20</f>
        <v>239948.27586206899</v>
      </c>
      <c r="D20" s="6">
        <v>11133600</v>
      </c>
      <c r="E20" s="5">
        <v>4</v>
      </c>
      <c r="F20" s="5">
        <v>1</v>
      </c>
      <c r="G20" s="160">
        <f>F20*D20</f>
        <v>11133600</v>
      </c>
    </row>
    <row r="21" spans="1:7" x14ac:dyDescent="0.2">
      <c r="A21" s="5">
        <v>1</v>
      </c>
      <c r="B21" s="5">
        <v>46.4</v>
      </c>
      <c r="C21" s="6">
        <f>D21/B21</f>
        <v>244947.19827586209</v>
      </c>
      <c r="D21" s="6">
        <v>11365550</v>
      </c>
      <c r="E21" s="5">
        <v>5</v>
      </c>
      <c r="F21" s="5">
        <v>1</v>
      </c>
      <c r="G21" s="160">
        <f>F21*D21</f>
        <v>11365550</v>
      </c>
    </row>
    <row r="22" spans="1:7" x14ac:dyDescent="0.2">
      <c r="A22" s="5">
        <v>1</v>
      </c>
      <c r="B22" s="5">
        <v>46.4</v>
      </c>
      <c r="C22" s="6">
        <f>D22/B22</f>
        <v>249946.12068965519</v>
      </c>
      <c r="D22" s="6">
        <v>11597500</v>
      </c>
      <c r="E22" s="5">
        <v>6</v>
      </c>
      <c r="F22" s="5">
        <v>1</v>
      </c>
      <c r="G22" s="160">
        <f>F22*D22</f>
        <v>11597500</v>
      </c>
    </row>
    <row r="23" spans="1:7" x14ac:dyDescent="0.2">
      <c r="A23" s="5">
        <v>1</v>
      </c>
      <c r="B23" s="5">
        <v>50.2</v>
      </c>
      <c r="C23" s="6">
        <f>D23/B23</f>
        <v>199158.56573705177</v>
      </c>
      <c r="D23" s="6">
        <v>9997760</v>
      </c>
      <c r="E23" s="5">
        <v>2</v>
      </c>
      <c r="F23" s="5">
        <v>1</v>
      </c>
      <c r="G23" s="160">
        <f>F23*D23</f>
        <v>9997760</v>
      </c>
    </row>
    <row r="24" spans="1:7" x14ac:dyDescent="0.2">
      <c r="A24" s="5">
        <v>1</v>
      </c>
      <c r="B24" s="5">
        <v>50.2</v>
      </c>
      <c r="C24" s="6">
        <f>D24/B24</f>
        <v>225179.28286852589</v>
      </c>
      <c r="D24" s="6">
        <v>11304000</v>
      </c>
      <c r="E24" s="5">
        <v>3</v>
      </c>
      <c r="F24" s="5">
        <v>1</v>
      </c>
      <c r="G24" s="160">
        <f>F24*D24</f>
        <v>11304000</v>
      </c>
    </row>
    <row r="25" spans="1:7" x14ac:dyDescent="0.2">
      <c r="A25" s="5">
        <v>1</v>
      </c>
      <c r="B25" s="5">
        <v>50.2</v>
      </c>
      <c r="C25" s="6">
        <f>D25/B25</f>
        <v>230183.2669322709</v>
      </c>
      <c r="D25" s="6">
        <v>11555200</v>
      </c>
      <c r="E25" s="5">
        <v>4</v>
      </c>
      <c r="F25" s="5">
        <v>1</v>
      </c>
      <c r="G25" s="160">
        <f>F25*D25</f>
        <v>11555200</v>
      </c>
    </row>
    <row r="26" spans="1:7" x14ac:dyDescent="0.2">
      <c r="A26" s="5">
        <v>1</v>
      </c>
      <c r="B26" s="5">
        <v>50.2</v>
      </c>
      <c r="C26" s="6">
        <f>D26/B26</f>
        <v>235187.25099601594</v>
      </c>
      <c r="D26" s="6">
        <v>11806400</v>
      </c>
      <c r="E26" s="5">
        <v>5</v>
      </c>
      <c r="F26" s="5">
        <v>1</v>
      </c>
      <c r="G26" s="160">
        <f>F26*D26</f>
        <v>11806400</v>
      </c>
    </row>
    <row r="27" spans="1:7" x14ac:dyDescent="0.2">
      <c r="A27" s="5">
        <v>1</v>
      </c>
      <c r="B27" s="5">
        <v>50.2</v>
      </c>
      <c r="C27" s="6">
        <f>D27/B27</f>
        <v>240191.23505976095</v>
      </c>
      <c r="D27" s="6">
        <v>12057600</v>
      </c>
      <c r="E27" s="5">
        <v>6</v>
      </c>
      <c r="F27" s="5">
        <v>1</v>
      </c>
      <c r="G27" s="160">
        <f>F27*D27</f>
        <v>12057600</v>
      </c>
    </row>
    <row r="28" spans="1:7" x14ac:dyDescent="0.2">
      <c r="A28" s="88">
        <v>3</v>
      </c>
      <c r="B28" s="88">
        <v>60.9</v>
      </c>
      <c r="C28" s="327">
        <f>D28/B28</f>
        <v>198065.02463054188</v>
      </c>
      <c r="D28" s="26">
        <v>12062160</v>
      </c>
      <c r="E28" s="88">
        <v>2</v>
      </c>
      <c r="F28" s="88">
        <v>1</v>
      </c>
      <c r="G28" s="160">
        <f>F28*D28</f>
        <v>12062160</v>
      </c>
    </row>
    <row r="29" spans="1:7" x14ac:dyDescent="0.2">
      <c r="A29" s="88">
        <v>3</v>
      </c>
      <c r="B29" s="88">
        <v>60.9</v>
      </c>
      <c r="C29" s="327">
        <f>D29/B29</f>
        <v>225073.89162561577</v>
      </c>
      <c r="D29" s="26">
        <v>13707000</v>
      </c>
      <c r="E29" s="88">
        <v>4</v>
      </c>
      <c r="F29" s="88">
        <v>1</v>
      </c>
      <c r="G29" s="160">
        <f>F29*D29</f>
        <v>13707000</v>
      </c>
    </row>
    <row r="30" spans="1:7" x14ac:dyDescent="0.2">
      <c r="A30" s="88">
        <v>3</v>
      </c>
      <c r="B30" s="88">
        <v>60.9</v>
      </c>
      <c r="C30" s="327">
        <f>D30/B30</f>
        <v>230075.53366174057</v>
      </c>
      <c r="D30" s="26">
        <v>14011600</v>
      </c>
      <c r="E30" s="88">
        <v>5</v>
      </c>
      <c r="F30" s="88">
        <v>1</v>
      </c>
      <c r="G30" s="160">
        <f>F30*D30</f>
        <v>14011600</v>
      </c>
    </row>
    <row r="31" spans="1:7" x14ac:dyDescent="0.2">
      <c r="A31" s="88">
        <v>3</v>
      </c>
      <c r="B31" s="88">
        <v>60.9</v>
      </c>
      <c r="C31" s="327">
        <f>D31/B31</f>
        <v>235077.17569786537</v>
      </c>
      <c r="D31" s="26">
        <v>14316200</v>
      </c>
      <c r="E31" s="88">
        <v>6</v>
      </c>
      <c r="F31" s="88">
        <v>1</v>
      </c>
      <c r="G31" s="160">
        <f>F31*D31</f>
        <v>14316200</v>
      </c>
    </row>
    <row r="32" spans="1:7" x14ac:dyDescent="0.2">
      <c r="A32" s="88">
        <v>3</v>
      </c>
      <c r="B32" s="88">
        <v>65.900000000000006</v>
      </c>
      <c r="C32" s="327">
        <f>D32/B32</f>
        <v>196970.10622154779</v>
      </c>
      <c r="D32" s="26">
        <v>12980330</v>
      </c>
      <c r="E32" s="88">
        <v>2</v>
      </c>
      <c r="F32" s="88">
        <v>1</v>
      </c>
      <c r="G32" s="160">
        <f>F32*D32</f>
        <v>12980330</v>
      </c>
    </row>
    <row r="33" spans="1:7" x14ac:dyDescent="0.2">
      <c r="A33" s="88">
        <v>3</v>
      </c>
      <c r="B33" s="88">
        <v>65.900000000000006</v>
      </c>
      <c r="C33" s="327">
        <f>D33/B33</f>
        <v>209968.13353566008</v>
      </c>
      <c r="D33" s="26">
        <v>13836900</v>
      </c>
      <c r="E33" s="88">
        <v>3</v>
      </c>
      <c r="F33" s="88">
        <v>1</v>
      </c>
      <c r="G33" s="160">
        <f>F33*D33</f>
        <v>13836900</v>
      </c>
    </row>
    <row r="34" spans="1:7" x14ac:dyDescent="0.2">
      <c r="A34" s="88">
        <v>3</v>
      </c>
      <c r="B34" s="88">
        <v>65.900000000000006</v>
      </c>
      <c r="C34" s="327">
        <f>D34/B34</f>
        <v>214967.37481031864</v>
      </c>
      <c r="D34" s="26">
        <v>14166350</v>
      </c>
      <c r="E34" s="88">
        <v>4</v>
      </c>
      <c r="F34" s="88">
        <v>1</v>
      </c>
      <c r="G34" s="160">
        <f>F34*D34</f>
        <v>14166350</v>
      </c>
    </row>
    <row r="35" spans="1:7" x14ac:dyDescent="0.2">
      <c r="A35" s="88">
        <v>3</v>
      </c>
      <c r="B35" s="88">
        <v>65.900000000000006</v>
      </c>
      <c r="C35" s="327">
        <f>D35/B35</f>
        <v>219966.61608497723</v>
      </c>
      <c r="D35" s="26">
        <v>14495800</v>
      </c>
      <c r="E35" s="88">
        <v>5</v>
      </c>
      <c r="F35" s="88">
        <v>1</v>
      </c>
      <c r="G35" s="160">
        <f>F35*D35</f>
        <v>14495800</v>
      </c>
    </row>
    <row r="36" spans="1:7" x14ac:dyDescent="0.2">
      <c r="A36" s="88">
        <v>3</v>
      </c>
      <c r="B36" s="88">
        <v>65.900000000000006</v>
      </c>
      <c r="C36" s="327">
        <f>D36/B36</f>
        <v>224965.85735963579</v>
      </c>
      <c r="D36" s="26">
        <v>14825250</v>
      </c>
      <c r="E36" s="88">
        <v>6</v>
      </c>
      <c r="F36" s="88">
        <v>1</v>
      </c>
      <c r="G36" s="160">
        <f>F36*D36</f>
        <v>14825250</v>
      </c>
    </row>
    <row r="37" spans="1:7" x14ac:dyDescent="0.2">
      <c r="A37" s="88">
        <v>4</v>
      </c>
      <c r="B37" s="88">
        <v>113.8</v>
      </c>
      <c r="C37" s="327">
        <f>D37/B37</f>
        <v>230000</v>
      </c>
      <c r="D37" s="26">
        <v>26174000</v>
      </c>
      <c r="E37" s="88">
        <v>7</v>
      </c>
      <c r="F37" s="88">
        <v>1</v>
      </c>
      <c r="G37" s="160">
        <f>F37*D37</f>
        <v>26174000</v>
      </c>
    </row>
    <row r="38" spans="1:7" x14ac:dyDescent="0.2">
      <c r="A38" s="88">
        <v>4</v>
      </c>
      <c r="B38" s="88">
        <v>113.8</v>
      </c>
      <c r="C38" s="327">
        <f>D38/B38</f>
        <v>230000</v>
      </c>
      <c r="D38" s="26">
        <v>26174000</v>
      </c>
      <c r="E38" s="88">
        <v>8</v>
      </c>
      <c r="F38" s="88">
        <v>1</v>
      </c>
      <c r="G38" s="160">
        <f>F38*D38</f>
        <v>26174000</v>
      </c>
    </row>
    <row r="39" spans="1:7" x14ac:dyDescent="0.2">
      <c r="A39" s="88">
        <v>4</v>
      </c>
      <c r="B39" s="88">
        <v>133.30000000000001</v>
      </c>
      <c r="C39" s="327">
        <f>D39/B39</f>
        <v>229965.49137284319</v>
      </c>
      <c r="D39" s="26">
        <v>30654400</v>
      </c>
      <c r="E39" s="88">
        <v>7</v>
      </c>
      <c r="F39" s="88">
        <v>1</v>
      </c>
      <c r="G39" s="160">
        <f>F39*D39</f>
        <v>30654400</v>
      </c>
    </row>
    <row r="40" spans="1:7" x14ac:dyDescent="0.2">
      <c r="A40" s="88">
        <v>4</v>
      </c>
      <c r="B40" s="88">
        <v>133.30000000000001</v>
      </c>
      <c r="C40" s="327">
        <f>D40/B40</f>
        <v>229965.49137284319</v>
      </c>
      <c r="D40" s="26">
        <v>30654400</v>
      </c>
      <c r="E40" s="88">
        <v>8</v>
      </c>
      <c r="F40" s="88">
        <v>1</v>
      </c>
      <c r="G40" s="160">
        <f>F40*D40</f>
        <v>30654400</v>
      </c>
    </row>
    <row r="41" spans="1:7" x14ac:dyDescent="0.2">
      <c r="A41" s="382" t="s">
        <v>375</v>
      </c>
      <c r="B41" s="383"/>
      <c r="C41" s="383"/>
      <c r="D41" s="383"/>
      <c r="E41" s="383"/>
      <c r="F41" t="s">
        <v>374</v>
      </c>
    </row>
    <row r="42" spans="1:7" x14ac:dyDescent="0.2">
      <c r="A42" s="10" t="s">
        <v>6</v>
      </c>
      <c r="B42" s="10" t="s">
        <v>7</v>
      </c>
      <c r="C42" s="10" t="s">
        <v>11</v>
      </c>
      <c r="D42" s="10" t="s">
        <v>12</v>
      </c>
      <c r="E42" s="2" t="s">
        <v>10</v>
      </c>
      <c r="F42" s="2" t="s">
        <v>31</v>
      </c>
      <c r="G42" s="5"/>
    </row>
    <row r="43" spans="1:7" x14ac:dyDescent="0.2">
      <c r="A43" s="88">
        <v>1</v>
      </c>
      <c r="B43" s="88">
        <v>38.4</v>
      </c>
      <c r="C43" s="5">
        <f>D43/B43</f>
        <v>160000</v>
      </c>
      <c r="D43" s="6">
        <v>6144000</v>
      </c>
      <c r="E43" s="88">
        <v>2.2999999999999998</v>
      </c>
      <c r="F43" s="88">
        <v>2</v>
      </c>
      <c r="G43" s="5">
        <f>F43*D43</f>
        <v>12288000</v>
      </c>
    </row>
    <row r="44" spans="1:7" x14ac:dyDescent="0.2">
      <c r="A44" s="88">
        <v>1</v>
      </c>
      <c r="B44" s="88">
        <v>38.4</v>
      </c>
      <c r="C44" s="5">
        <f>D44/B44</f>
        <v>160000</v>
      </c>
      <c r="D44" s="6">
        <v>6144000</v>
      </c>
      <c r="E44" s="88">
        <v>2</v>
      </c>
      <c r="F44" s="88">
        <v>1</v>
      </c>
      <c r="G44" s="5">
        <f>F44*D44</f>
        <v>6144000</v>
      </c>
    </row>
    <row r="45" spans="1:7" x14ac:dyDescent="0.2">
      <c r="A45" s="88">
        <v>1</v>
      </c>
      <c r="B45" s="88">
        <v>40</v>
      </c>
      <c r="C45" s="5">
        <f>D45/B45</f>
        <v>193000</v>
      </c>
      <c r="D45" s="6">
        <v>7720000</v>
      </c>
      <c r="E45" s="5">
        <v>5.6</v>
      </c>
      <c r="F45" s="88">
        <v>2</v>
      </c>
      <c r="G45" s="5">
        <f>F45*D45</f>
        <v>15440000</v>
      </c>
    </row>
    <row r="46" spans="1:7" x14ac:dyDescent="0.2">
      <c r="A46" s="88">
        <v>1</v>
      </c>
      <c r="B46" s="88">
        <v>40</v>
      </c>
      <c r="C46" s="5">
        <f>D46/B46</f>
        <v>193000</v>
      </c>
      <c r="D46" s="6">
        <v>7720000</v>
      </c>
      <c r="E46" s="5">
        <v>5.6</v>
      </c>
      <c r="F46" s="88">
        <v>2</v>
      </c>
      <c r="G46" s="5">
        <f>F46*D46</f>
        <v>15440000</v>
      </c>
    </row>
    <row r="47" spans="1:7" x14ac:dyDescent="0.2">
      <c r="A47" s="88">
        <v>2</v>
      </c>
      <c r="B47" s="88">
        <v>50.7</v>
      </c>
      <c r="C47" s="5">
        <f>D47/B47</f>
        <v>150000</v>
      </c>
      <c r="D47" s="6">
        <v>7605000</v>
      </c>
      <c r="E47" s="5">
        <v>2.2999999999999998</v>
      </c>
      <c r="F47" s="5">
        <v>2</v>
      </c>
      <c r="G47" s="3">
        <f>F47*D47</f>
        <v>15210000</v>
      </c>
    </row>
    <row r="48" spans="1:7" x14ac:dyDescent="0.2">
      <c r="A48" s="88">
        <v>2</v>
      </c>
      <c r="B48" s="88">
        <v>52.5</v>
      </c>
      <c r="C48" s="5">
        <f>D48/B48</f>
        <v>150000</v>
      </c>
      <c r="D48" s="6">
        <v>7875000</v>
      </c>
      <c r="E48" s="5" t="s">
        <v>376</v>
      </c>
      <c r="F48" s="5">
        <v>3</v>
      </c>
      <c r="G48" s="3">
        <f>F48*D48</f>
        <v>23625000</v>
      </c>
    </row>
    <row r="49" spans="1:7" x14ac:dyDescent="0.2">
      <c r="A49" s="88">
        <v>2</v>
      </c>
      <c r="B49" s="88">
        <v>54</v>
      </c>
      <c r="C49" s="5">
        <f>D49/B49</f>
        <v>161481.48148148149</v>
      </c>
      <c r="D49" s="6">
        <v>8720000</v>
      </c>
      <c r="E49" s="5">
        <v>5.6</v>
      </c>
      <c r="F49" s="5">
        <v>2</v>
      </c>
      <c r="G49" s="3">
        <f>F49*D49</f>
        <v>17440000</v>
      </c>
    </row>
    <row r="50" spans="1:7" x14ac:dyDescent="0.2">
      <c r="A50" s="88">
        <v>2</v>
      </c>
      <c r="B50" s="88">
        <v>54</v>
      </c>
      <c r="C50" s="5">
        <f>D50/B50</f>
        <v>182000</v>
      </c>
      <c r="D50" s="6">
        <v>9828000</v>
      </c>
      <c r="E50" s="328" t="s">
        <v>377</v>
      </c>
      <c r="F50" s="5">
        <v>5</v>
      </c>
      <c r="G50" s="3">
        <f>F50*D50</f>
        <v>49140000</v>
      </c>
    </row>
    <row r="51" spans="1:7" x14ac:dyDescent="0.2">
      <c r="A51" s="88">
        <v>2</v>
      </c>
      <c r="B51" s="88">
        <v>55.1</v>
      </c>
      <c r="C51" s="5">
        <f>D51/B51</f>
        <v>180000</v>
      </c>
      <c r="D51" s="6">
        <v>9918000</v>
      </c>
      <c r="E51" s="5">
        <v>5.6</v>
      </c>
      <c r="F51" s="5">
        <v>2</v>
      </c>
      <c r="G51" s="3">
        <f>F51*D51</f>
        <v>19836000</v>
      </c>
    </row>
    <row r="52" spans="1:7" x14ac:dyDescent="0.2">
      <c r="A52" s="88">
        <v>2</v>
      </c>
      <c r="B52" s="88">
        <v>55.1</v>
      </c>
      <c r="C52" s="5">
        <f>D52/B52</f>
        <v>182000</v>
      </c>
      <c r="D52" s="6">
        <v>10028200</v>
      </c>
      <c r="E52" s="328" t="s">
        <v>377</v>
      </c>
      <c r="F52" s="5">
        <v>5</v>
      </c>
      <c r="G52" s="3">
        <f>F52*D52</f>
        <v>50141000</v>
      </c>
    </row>
    <row r="53" spans="1:7" x14ac:dyDescent="0.2">
      <c r="A53" s="88">
        <v>2</v>
      </c>
      <c r="B53" s="88">
        <v>56</v>
      </c>
      <c r="C53" s="5">
        <f>D53/B53</f>
        <v>187000</v>
      </c>
      <c r="D53" s="6">
        <v>10472000</v>
      </c>
      <c r="E53" s="5" t="s">
        <v>378</v>
      </c>
      <c r="F53" s="5">
        <v>5</v>
      </c>
      <c r="G53" s="3">
        <f>F53*D53</f>
        <v>52360000</v>
      </c>
    </row>
    <row r="54" spans="1:7" x14ac:dyDescent="0.2">
      <c r="A54" s="88">
        <v>2</v>
      </c>
      <c r="B54" s="88">
        <v>56.6</v>
      </c>
      <c r="C54" s="5">
        <f>D54/B54</f>
        <v>187000</v>
      </c>
      <c r="D54" s="6">
        <v>10584200</v>
      </c>
      <c r="E54" s="5" t="s">
        <v>378</v>
      </c>
      <c r="F54" s="5">
        <v>5</v>
      </c>
      <c r="G54" s="3">
        <f>F54*D54</f>
        <v>52921000</v>
      </c>
    </row>
    <row r="55" spans="1:7" x14ac:dyDescent="0.2">
      <c r="A55" s="88">
        <v>2</v>
      </c>
      <c r="B55" s="88">
        <v>63.2</v>
      </c>
      <c r="C55" s="5">
        <f>D55/B55</f>
        <v>145000</v>
      </c>
      <c r="D55" s="6">
        <v>9164000</v>
      </c>
      <c r="E55" s="5" t="s">
        <v>376</v>
      </c>
      <c r="F55" s="5">
        <v>3</v>
      </c>
      <c r="G55" s="3">
        <f>F55*D55</f>
        <v>27492000</v>
      </c>
    </row>
    <row r="56" spans="1:7" x14ac:dyDescent="0.2">
      <c r="A56" s="88">
        <v>2</v>
      </c>
      <c r="B56" s="88">
        <v>66.5</v>
      </c>
      <c r="C56" s="5">
        <f>D56/B56</f>
        <v>175000</v>
      </c>
      <c r="D56" s="6">
        <v>11637500</v>
      </c>
      <c r="E56" s="5">
        <v>5.6</v>
      </c>
      <c r="F56" s="5">
        <v>2</v>
      </c>
      <c r="G56" s="3">
        <f>F56*D56</f>
        <v>23275000</v>
      </c>
    </row>
    <row r="57" spans="1:7" x14ac:dyDescent="0.2">
      <c r="A57" s="88">
        <v>2</v>
      </c>
      <c r="B57" s="88">
        <v>66.5</v>
      </c>
      <c r="C57" s="5">
        <f>D57/B57</f>
        <v>177000</v>
      </c>
      <c r="D57" s="6">
        <v>11770500</v>
      </c>
      <c r="E57" s="328" t="s">
        <v>377</v>
      </c>
      <c r="F57" s="5">
        <v>5</v>
      </c>
      <c r="G57" s="3">
        <f>F57*D57</f>
        <v>58852500</v>
      </c>
    </row>
    <row r="58" spans="1:7" x14ac:dyDescent="0.2">
      <c r="A58" s="88">
        <v>2</v>
      </c>
      <c r="B58" s="88">
        <v>69</v>
      </c>
      <c r="C58" s="5">
        <f>D58/B58</f>
        <v>182000</v>
      </c>
      <c r="D58" s="6">
        <v>12558000</v>
      </c>
      <c r="E58" s="5" t="s">
        <v>378</v>
      </c>
      <c r="F58" s="5">
        <v>5</v>
      </c>
      <c r="G58" s="3">
        <f>F58*D58</f>
        <v>62790000</v>
      </c>
    </row>
    <row r="59" spans="1:7" x14ac:dyDescent="0.2">
      <c r="A59" s="88">
        <v>3</v>
      </c>
      <c r="B59" s="88">
        <v>69</v>
      </c>
      <c r="C59" s="5">
        <f>D59/B59</f>
        <v>144782.60869565216</v>
      </c>
      <c r="D59" s="6">
        <v>9990000</v>
      </c>
      <c r="E59" s="5">
        <v>2</v>
      </c>
      <c r="F59" s="5">
        <v>1</v>
      </c>
      <c r="G59" s="3">
        <f>F59*D59</f>
        <v>9990000</v>
      </c>
    </row>
    <row r="60" spans="1:7" x14ac:dyDescent="0.2">
      <c r="A60" s="88">
        <v>3</v>
      </c>
      <c r="B60" s="88">
        <v>73.099999999999994</v>
      </c>
      <c r="C60" s="5">
        <f>D60/B60</f>
        <v>173000</v>
      </c>
      <c r="D60" s="6">
        <v>12646300</v>
      </c>
      <c r="E60" s="5">
        <v>6</v>
      </c>
      <c r="F60" s="5">
        <v>1</v>
      </c>
      <c r="G60" s="5">
        <f>F60*D60</f>
        <v>12646300</v>
      </c>
    </row>
    <row r="61" spans="1:7" x14ac:dyDescent="0.2">
      <c r="A61" s="88">
        <v>3</v>
      </c>
      <c r="B61" s="88">
        <v>73.099999999999994</v>
      </c>
      <c r="C61" s="5">
        <f>D61/B61</f>
        <v>174000</v>
      </c>
      <c r="D61" s="6">
        <v>12719400</v>
      </c>
      <c r="E61" s="328" t="s">
        <v>379</v>
      </c>
      <c r="F61" s="5">
        <v>4</v>
      </c>
      <c r="G61" s="5">
        <f>F61*D61</f>
        <v>50877600</v>
      </c>
    </row>
    <row r="62" spans="1:7" x14ac:dyDescent="0.2">
      <c r="A62" s="88">
        <v>3</v>
      </c>
      <c r="B62" s="88">
        <v>76.400000000000006</v>
      </c>
      <c r="C62" s="5">
        <f>D62/B62</f>
        <v>179000</v>
      </c>
      <c r="D62" s="6">
        <v>13675600</v>
      </c>
      <c r="E62" s="5" t="s">
        <v>378</v>
      </c>
      <c r="F62" s="5">
        <v>5</v>
      </c>
      <c r="G62" s="5">
        <f>F62*D62</f>
        <v>68378000</v>
      </c>
    </row>
    <row r="63" spans="1:7" x14ac:dyDescent="0.2">
      <c r="A63" s="88">
        <v>3</v>
      </c>
      <c r="B63" s="88">
        <v>90.7</v>
      </c>
      <c r="C63" s="5">
        <f>D63/B63</f>
        <v>174000</v>
      </c>
      <c r="D63" s="6">
        <v>15781800</v>
      </c>
      <c r="E63" s="5" t="s">
        <v>377</v>
      </c>
      <c r="F63" s="5">
        <v>5</v>
      </c>
      <c r="G63" s="3">
        <f>F63*D63</f>
        <v>78909000</v>
      </c>
    </row>
    <row r="64" spans="1:7" x14ac:dyDescent="0.2">
      <c r="A64" s="88">
        <v>3</v>
      </c>
      <c r="B64" s="88">
        <v>95.9</v>
      </c>
      <c r="C64" s="5">
        <f>D64/B64</f>
        <v>179000</v>
      </c>
      <c r="D64" s="6">
        <v>17166100</v>
      </c>
      <c r="E64" s="5" t="s">
        <v>378</v>
      </c>
      <c r="F64" s="5">
        <v>5</v>
      </c>
      <c r="G64" s="3">
        <f>F64*D64</f>
        <v>85830500</v>
      </c>
    </row>
    <row r="65" spans="1:1" x14ac:dyDescent="0.2">
      <c r="A65" s="329"/>
    </row>
  </sheetData>
  <autoFilter ref="A3:G64" xr:uid="{47887DD8-EDAA-4952-BDBD-140CD1B0C6FA}">
    <filterColumn colId="0">
      <iconFilter iconSet="3Arrows"/>
    </filterColumn>
  </autoFilter>
  <sortState ref="A43:G64">
    <sortCondition ref="B43:B64"/>
  </sortState>
  <mergeCells count="3">
    <mergeCell ref="A1:E1"/>
    <mergeCell ref="A2:E2"/>
    <mergeCell ref="A41:E41"/>
  </mergeCells>
  <hyperlinks>
    <hyperlink ref="F2" r:id="rId1" xr:uid="{21A26A3C-A479-44BA-8C31-1758B3A806F2}"/>
  </hyperlinks>
  <pageMargins left="0.7" right="0.7" top="0.75" bottom="0.75" header="0.3" footer="0.3"/>
  <pageSetup paperSize="9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K487"/>
  <sheetViews>
    <sheetView zoomScaleNormal="100" workbookViewId="0">
      <selection activeCell="F14" sqref="F14"/>
    </sheetView>
  </sheetViews>
  <sheetFormatPr defaultColWidth="14.42578125" defaultRowHeight="15.75" customHeight="1" x14ac:dyDescent="0.2"/>
  <cols>
    <col min="1" max="1" width="8.42578125" style="7" customWidth="1"/>
    <col min="2" max="2" width="11.42578125" style="7" customWidth="1"/>
    <col min="3" max="3" width="14.140625" style="24" customWidth="1"/>
    <col min="4" max="4" width="14.42578125" style="7"/>
    <col min="5" max="5" width="9.140625" customWidth="1"/>
    <col min="6" max="6" width="13.42578125" customWidth="1"/>
    <col min="7" max="7" width="8.85546875" style="7" customWidth="1"/>
    <col min="8" max="8" width="14.42578125" style="7"/>
    <col min="9" max="9" width="17.42578125" hidden="1" customWidth="1"/>
    <col min="10" max="10" width="18.5703125" customWidth="1"/>
    <col min="11" max="11" width="19.5703125" customWidth="1"/>
  </cols>
  <sheetData>
    <row r="1" spans="1:11" ht="18" x14ac:dyDescent="0.25">
      <c r="A1" s="300" t="s">
        <v>21</v>
      </c>
      <c r="B1" s="301"/>
      <c r="C1" s="301"/>
      <c r="D1" s="301"/>
      <c r="E1" s="301"/>
      <c r="F1" s="92"/>
      <c r="G1" s="16" t="s">
        <v>52</v>
      </c>
    </row>
    <row r="2" spans="1:11" ht="15.75" customHeight="1" x14ac:dyDescent="0.2">
      <c r="A2" s="302" t="s">
        <v>42</v>
      </c>
      <c r="B2" s="303"/>
      <c r="C2" s="303"/>
      <c r="D2" s="303"/>
      <c r="E2" s="303"/>
      <c r="F2" s="93"/>
      <c r="G2" s="34" t="s">
        <v>86</v>
      </c>
    </row>
    <row r="3" spans="1:11" ht="15.75" customHeight="1" x14ac:dyDescent="0.2">
      <c r="A3" s="10" t="s">
        <v>6</v>
      </c>
      <c r="B3" s="10" t="s">
        <v>7</v>
      </c>
      <c r="C3" s="23" t="s">
        <v>11</v>
      </c>
      <c r="D3" s="10" t="s">
        <v>12</v>
      </c>
      <c r="E3" s="2" t="s">
        <v>10</v>
      </c>
      <c r="F3" s="2" t="s">
        <v>9</v>
      </c>
      <c r="G3" s="2" t="s">
        <v>38</v>
      </c>
      <c r="H3" s="2" t="s">
        <v>32</v>
      </c>
      <c r="I3" s="23" t="s">
        <v>172</v>
      </c>
      <c r="J3" s="162" t="s">
        <v>173</v>
      </c>
      <c r="K3" s="162" t="s">
        <v>174</v>
      </c>
    </row>
    <row r="4" spans="1:11" ht="12.75" x14ac:dyDescent="0.2">
      <c r="A4" s="90">
        <v>1</v>
      </c>
      <c r="B4" s="90">
        <v>42.82</v>
      </c>
      <c r="C4" s="22">
        <f t="shared" ref="C4" si="0">D4/B4</f>
        <v>142234.93694535265</v>
      </c>
      <c r="D4" s="3">
        <v>6090500</v>
      </c>
      <c r="E4" s="4">
        <v>1</v>
      </c>
      <c r="F4" s="4" t="s">
        <v>41</v>
      </c>
      <c r="G4" s="5">
        <v>1</v>
      </c>
      <c r="H4" s="5">
        <f t="shared" ref="H4" si="1">G4*D4</f>
        <v>6090500</v>
      </c>
      <c r="I4" s="5">
        <f t="shared" ref="I4:I15" si="2">B4*20000</f>
        <v>856400</v>
      </c>
      <c r="J4" s="5">
        <f t="shared" ref="J4:J15" si="3">H4-I4</f>
        <v>5234100</v>
      </c>
      <c r="K4" s="6">
        <f t="shared" ref="K4:K15" si="4">J4/B4</f>
        <v>122234.93694535265</v>
      </c>
    </row>
    <row r="5" spans="1:11" ht="12.75" x14ac:dyDescent="0.2">
      <c r="A5" s="302" t="s">
        <v>43</v>
      </c>
      <c r="B5" s="303"/>
      <c r="C5" s="303"/>
      <c r="D5" s="303"/>
      <c r="E5" s="303"/>
      <c r="F5" s="93"/>
      <c r="G5" s="34" t="s">
        <v>86</v>
      </c>
      <c r="I5" s="5"/>
      <c r="J5" s="5"/>
      <c r="K5" s="6"/>
    </row>
    <row r="6" spans="1:11" ht="12.75" x14ac:dyDescent="0.2">
      <c r="A6" s="10" t="s">
        <v>6</v>
      </c>
      <c r="B6" s="10" t="s">
        <v>7</v>
      </c>
      <c r="C6" s="23" t="s">
        <v>11</v>
      </c>
      <c r="D6" s="10" t="s">
        <v>12</v>
      </c>
      <c r="E6" s="2" t="s">
        <v>10</v>
      </c>
      <c r="F6" s="2" t="s">
        <v>9</v>
      </c>
      <c r="G6" s="5"/>
      <c r="H6" s="5"/>
      <c r="I6" s="5"/>
      <c r="J6" s="5"/>
      <c r="K6" s="6"/>
    </row>
    <row r="7" spans="1:11" ht="12.75" x14ac:dyDescent="0.2">
      <c r="A7" s="90">
        <v>1</v>
      </c>
      <c r="B7" s="90">
        <v>39.43</v>
      </c>
      <c r="C7" s="22">
        <f t="shared" ref="C7:C17" si="5">D7/B7</f>
        <v>151891.96043621609</v>
      </c>
      <c r="D7" s="3">
        <v>5989100</v>
      </c>
      <c r="E7" s="4">
        <v>4</v>
      </c>
      <c r="F7" s="4" t="s">
        <v>41</v>
      </c>
      <c r="G7" s="5">
        <v>1</v>
      </c>
      <c r="H7" s="5">
        <f t="shared" ref="H7:H17" si="6">G7*D7</f>
        <v>5989100</v>
      </c>
      <c r="I7" s="5">
        <f t="shared" si="2"/>
        <v>788600</v>
      </c>
      <c r="J7" s="5">
        <f t="shared" si="3"/>
        <v>5200500</v>
      </c>
      <c r="K7" s="6">
        <f t="shared" si="4"/>
        <v>131891.96043621609</v>
      </c>
    </row>
    <row r="8" spans="1:11" ht="12.75" x14ac:dyDescent="0.2">
      <c r="A8" s="90">
        <v>1</v>
      </c>
      <c r="B8" s="238">
        <v>40.17</v>
      </c>
      <c r="C8" s="22">
        <f t="shared" si="5"/>
        <v>150311.1774956435</v>
      </c>
      <c r="D8" s="3">
        <v>6038000</v>
      </c>
      <c r="E8" s="4">
        <v>4</v>
      </c>
      <c r="F8" s="4" t="s">
        <v>41</v>
      </c>
      <c r="G8" s="5">
        <v>1</v>
      </c>
      <c r="H8" s="5">
        <f t="shared" si="6"/>
        <v>6038000</v>
      </c>
      <c r="I8" s="5">
        <f t="shared" si="2"/>
        <v>803400</v>
      </c>
      <c r="J8" s="5">
        <f t="shared" si="3"/>
        <v>5234600</v>
      </c>
      <c r="K8" s="6">
        <f t="shared" si="4"/>
        <v>130311.17749564351</v>
      </c>
    </row>
    <row r="9" spans="1:11" ht="12.75" x14ac:dyDescent="0.2">
      <c r="A9" s="90">
        <v>1</v>
      </c>
      <c r="B9" s="90">
        <v>40.74</v>
      </c>
      <c r="C9" s="22">
        <f t="shared" si="5"/>
        <v>150100.63819342168</v>
      </c>
      <c r="D9" s="3">
        <v>6115100</v>
      </c>
      <c r="E9" s="4">
        <v>4</v>
      </c>
      <c r="F9" s="4" t="s">
        <v>41</v>
      </c>
      <c r="G9" s="5">
        <v>1</v>
      </c>
      <c r="H9" s="5">
        <f t="shared" si="6"/>
        <v>6115100</v>
      </c>
      <c r="I9" s="5">
        <f t="shared" si="2"/>
        <v>814800</v>
      </c>
      <c r="J9" s="5">
        <f t="shared" si="3"/>
        <v>5300300</v>
      </c>
      <c r="K9" s="6">
        <f t="shared" si="4"/>
        <v>130100.63819342169</v>
      </c>
    </row>
    <row r="10" spans="1:11" ht="12.75" x14ac:dyDescent="0.2">
      <c r="A10" s="90">
        <v>1</v>
      </c>
      <c r="B10" s="90">
        <v>42.61</v>
      </c>
      <c r="C10" s="22">
        <f t="shared" si="5"/>
        <v>147700.07040600799</v>
      </c>
      <c r="D10" s="3">
        <v>6293500</v>
      </c>
      <c r="E10" s="4">
        <v>1</v>
      </c>
      <c r="F10" s="4" t="s">
        <v>41</v>
      </c>
      <c r="G10" s="5">
        <v>1</v>
      </c>
      <c r="H10" s="5">
        <f t="shared" si="6"/>
        <v>6293500</v>
      </c>
      <c r="I10" s="5">
        <f t="shared" si="2"/>
        <v>852200</v>
      </c>
      <c r="J10" s="5">
        <f t="shared" si="3"/>
        <v>5441300</v>
      </c>
      <c r="K10" s="6">
        <f t="shared" si="4"/>
        <v>127700.07040600799</v>
      </c>
    </row>
    <row r="11" spans="1:11" ht="12.75" x14ac:dyDescent="0.2">
      <c r="A11" s="90">
        <v>1</v>
      </c>
      <c r="B11" s="90">
        <v>42.82</v>
      </c>
      <c r="C11" s="22">
        <f t="shared" si="5"/>
        <v>148330.21952358712</v>
      </c>
      <c r="D11" s="3">
        <v>6351500</v>
      </c>
      <c r="E11" s="4">
        <v>1</v>
      </c>
      <c r="F11" s="4" t="s">
        <v>41</v>
      </c>
      <c r="G11" s="5">
        <v>1</v>
      </c>
      <c r="H11" s="5">
        <f t="shared" si="6"/>
        <v>6351500</v>
      </c>
      <c r="I11" s="5">
        <f t="shared" si="2"/>
        <v>856400</v>
      </c>
      <c r="J11" s="5">
        <f t="shared" si="3"/>
        <v>5495100</v>
      </c>
      <c r="K11" s="6">
        <f t="shared" si="4"/>
        <v>128330.2195235871</v>
      </c>
    </row>
    <row r="12" spans="1:11" ht="12.75" x14ac:dyDescent="0.2">
      <c r="A12" s="90">
        <v>2</v>
      </c>
      <c r="B12" s="90">
        <v>61.35</v>
      </c>
      <c r="C12" s="22">
        <f t="shared" si="5"/>
        <v>136707.4164629177</v>
      </c>
      <c r="D12" s="3">
        <v>8387000</v>
      </c>
      <c r="E12" s="4">
        <v>4</v>
      </c>
      <c r="F12" s="4" t="s">
        <v>41</v>
      </c>
      <c r="G12" s="5">
        <v>1</v>
      </c>
      <c r="H12" s="5">
        <f t="shared" si="6"/>
        <v>8387000</v>
      </c>
      <c r="I12" s="5">
        <f t="shared" si="2"/>
        <v>1227000</v>
      </c>
      <c r="J12" s="5">
        <f t="shared" si="3"/>
        <v>7160000</v>
      </c>
      <c r="K12" s="6">
        <f t="shared" si="4"/>
        <v>116707.41646291768</v>
      </c>
    </row>
    <row r="13" spans="1:11" ht="12.75" x14ac:dyDescent="0.2">
      <c r="A13" s="90">
        <v>2</v>
      </c>
      <c r="B13" s="90">
        <v>61.35</v>
      </c>
      <c r="C13" s="22">
        <f t="shared" si="5"/>
        <v>136927.46536267319</v>
      </c>
      <c r="D13" s="3">
        <v>8400500</v>
      </c>
      <c r="E13" s="4">
        <v>4</v>
      </c>
      <c r="F13" s="4" t="s">
        <v>41</v>
      </c>
      <c r="G13" s="5">
        <v>1</v>
      </c>
      <c r="H13" s="5">
        <f t="shared" si="6"/>
        <v>8400500</v>
      </c>
      <c r="I13" s="5">
        <f t="shared" si="2"/>
        <v>1227000</v>
      </c>
      <c r="J13" s="5">
        <f t="shared" si="3"/>
        <v>7173500</v>
      </c>
      <c r="K13" s="6">
        <f t="shared" si="4"/>
        <v>116927.46536267319</v>
      </c>
    </row>
    <row r="14" spans="1:11" ht="12.75" x14ac:dyDescent="0.2">
      <c r="A14" s="90">
        <v>2</v>
      </c>
      <c r="B14" s="90">
        <v>61.35</v>
      </c>
      <c r="C14" s="22">
        <f t="shared" si="5"/>
        <v>137807.66096169519</v>
      </c>
      <c r="D14" s="3">
        <v>8454500</v>
      </c>
      <c r="E14" s="4">
        <v>3</v>
      </c>
      <c r="F14" s="4" t="s">
        <v>41</v>
      </c>
      <c r="G14" s="5">
        <v>1</v>
      </c>
      <c r="H14" s="5">
        <f t="shared" si="6"/>
        <v>8454500</v>
      </c>
      <c r="I14" s="5">
        <f t="shared" si="2"/>
        <v>1227000</v>
      </c>
      <c r="J14" s="5">
        <f t="shared" si="3"/>
        <v>7227500</v>
      </c>
      <c r="K14" s="6">
        <f t="shared" si="4"/>
        <v>117807.66096169519</v>
      </c>
    </row>
    <row r="15" spans="1:11" ht="12.75" x14ac:dyDescent="0.2">
      <c r="A15" s="90">
        <v>3</v>
      </c>
      <c r="B15" s="90">
        <v>74.28</v>
      </c>
      <c r="C15" s="22">
        <f t="shared" si="5"/>
        <v>131677.43672590199</v>
      </c>
      <c r="D15" s="3">
        <v>9781000</v>
      </c>
      <c r="E15" s="4">
        <v>1</v>
      </c>
      <c r="F15" s="4" t="s">
        <v>41</v>
      </c>
      <c r="G15" s="5">
        <v>1</v>
      </c>
      <c r="H15" s="5">
        <f t="shared" si="6"/>
        <v>9781000</v>
      </c>
      <c r="I15" s="5">
        <f t="shared" si="2"/>
        <v>1485600</v>
      </c>
      <c r="J15" s="5">
        <f t="shared" si="3"/>
        <v>8295400</v>
      </c>
      <c r="K15" s="6">
        <f t="shared" si="4"/>
        <v>111677.43672590199</v>
      </c>
    </row>
    <row r="16" spans="1:11" ht="12.75" x14ac:dyDescent="0.2">
      <c r="A16" s="90">
        <v>3</v>
      </c>
      <c r="B16" s="90">
        <v>74.28</v>
      </c>
      <c r="C16" s="22">
        <f t="shared" si="5"/>
        <v>134881.52934841142</v>
      </c>
      <c r="D16" s="3">
        <v>10019000</v>
      </c>
      <c r="E16" s="4">
        <v>4</v>
      </c>
      <c r="F16" s="4" t="s">
        <v>41</v>
      </c>
      <c r="G16" s="5">
        <v>1</v>
      </c>
      <c r="H16" s="5">
        <f t="shared" si="6"/>
        <v>10019000</v>
      </c>
      <c r="I16" s="5"/>
      <c r="J16" s="5"/>
      <c r="K16" s="6"/>
    </row>
    <row r="17" spans="1:11" ht="12.75" x14ac:dyDescent="0.2">
      <c r="A17" s="90">
        <v>3</v>
      </c>
      <c r="B17" s="90">
        <v>74.28</v>
      </c>
      <c r="C17" s="22">
        <f t="shared" si="5"/>
        <v>135418.68605277329</v>
      </c>
      <c r="D17" s="3">
        <v>10058900</v>
      </c>
      <c r="E17" s="4">
        <v>3</v>
      </c>
      <c r="F17" s="4" t="s">
        <v>41</v>
      </c>
      <c r="G17" s="5">
        <v>1</v>
      </c>
      <c r="H17" s="5">
        <f t="shared" si="6"/>
        <v>10058900</v>
      </c>
      <c r="I17" s="5"/>
      <c r="J17" s="5"/>
      <c r="K17" s="6"/>
    </row>
    <row r="18" spans="1:11" ht="12.75" x14ac:dyDescent="0.2">
      <c r="A18" s="297" t="s">
        <v>50</v>
      </c>
      <c r="B18" s="297"/>
      <c r="C18" s="297"/>
      <c r="D18" s="297"/>
      <c r="E18" s="297"/>
      <c r="F18" s="93"/>
      <c r="G18" s="16" t="s">
        <v>52</v>
      </c>
      <c r="H18" s="34" t="s">
        <v>89</v>
      </c>
    </row>
    <row r="19" spans="1:11" ht="12.75" x14ac:dyDescent="0.2">
      <c r="A19" s="10" t="s">
        <v>6</v>
      </c>
      <c r="B19" s="10" t="s">
        <v>7</v>
      </c>
      <c r="C19" s="23" t="s">
        <v>11</v>
      </c>
      <c r="D19" s="10" t="s">
        <v>12</v>
      </c>
      <c r="E19" s="2" t="s">
        <v>10</v>
      </c>
      <c r="F19" s="2" t="s">
        <v>9</v>
      </c>
      <c r="G19" s="2" t="s">
        <v>38</v>
      </c>
      <c r="H19" s="5"/>
    </row>
    <row r="20" spans="1:11" ht="12.75" x14ac:dyDescent="0.2">
      <c r="A20" s="90">
        <v>1</v>
      </c>
      <c r="B20" s="90">
        <v>34.299999999999997</v>
      </c>
      <c r="C20" s="22">
        <f t="shared" ref="C20:C45" si="7">D20/B20</f>
        <v>197274.81049562685</v>
      </c>
      <c r="D20" s="3">
        <v>6766526</v>
      </c>
      <c r="E20" s="4">
        <v>13</v>
      </c>
      <c r="F20" s="4" t="s">
        <v>36</v>
      </c>
      <c r="G20" s="4">
        <v>1</v>
      </c>
      <c r="H20" s="5">
        <f t="shared" ref="H20:H30" si="8">G20*D20</f>
        <v>6766526</v>
      </c>
    </row>
    <row r="21" spans="1:11" ht="12.75" x14ac:dyDescent="0.2">
      <c r="A21" s="90">
        <v>1</v>
      </c>
      <c r="B21" s="90">
        <v>35.6</v>
      </c>
      <c r="C21" s="22">
        <f t="shared" si="7"/>
        <v>199798.93258426964</v>
      </c>
      <c r="D21" s="3">
        <v>7112842</v>
      </c>
      <c r="E21" s="4">
        <v>9</v>
      </c>
      <c r="F21" s="4" t="s">
        <v>36</v>
      </c>
      <c r="G21" s="4">
        <v>1</v>
      </c>
      <c r="H21" s="5">
        <f t="shared" si="8"/>
        <v>7112842</v>
      </c>
    </row>
    <row r="22" spans="1:11" ht="12.75" x14ac:dyDescent="0.2">
      <c r="A22" s="90">
        <v>1</v>
      </c>
      <c r="B22" s="90">
        <v>36.020000000000003</v>
      </c>
      <c r="C22" s="22">
        <f t="shared" si="7"/>
        <v>185090.14436424206</v>
      </c>
      <c r="D22" s="3">
        <v>6666947</v>
      </c>
      <c r="E22" s="4">
        <v>15</v>
      </c>
      <c r="F22" s="4" t="s">
        <v>36</v>
      </c>
      <c r="G22" s="4">
        <v>1</v>
      </c>
      <c r="H22" s="5">
        <f t="shared" si="8"/>
        <v>6666947</v>
      </c>
    </row>
    <row r="23" spans="1:11" ht="12.75" x14ac:dyDescent="0.2">
      <c r="A23" s="90">
        <v>1</v>
      </c>
      <c r="B23" s="90">
        <v>36.020000000000003</v>
      </c>
      <c r="C23" s="22">
        <f t="shared" si="7"/>
        <v>190642.6152137701</v>
      </c>
      <c r="D23" s="3">
        <v>6866947</v>
      </c>
      <c r="E23" s="4">
        <v>9</v>
      </c>
      <c r="F23" s="4" t="s">
        <v>36</v>
      </c>
      <c r="G23" s="4">
        <v>1</v>
      </c>
      <c r="H23" s="5">
        <f t="shared" si="8"/>
        <v>6866947</v>
      </c>
    </row>
    <row r="24" spans="1:11" ht="12.75" x14ac:dyDescent="0.2">
      <c r="A24" s="90">
        <v>1</v>
      </c>
      <c r="B24" s="90">
        <v>36.200000000000003</v>
      </c>
      <c r="C24" s="22">
        <f t="shared" si="7"/>
        <v>178000</v>
      </c>
      <c r="D24" s="3">
        <v>6443600</v>
      </c>
      <c r="E24" s="4">
        <v>17</v>
      </c>
      <c r="F24" s="4" t="s">
        <v>36</v>
      </c>
      <c r="G24" s="4">
        <v>1</v>
      </c>
      <c r="H24" s="5">
        <f t="shared" si="8"/>
        <v>6443600</v>
      </c>
    </row>
    <row r="25" spans="1:11" ht="12.75" x14ac:dyDescent="0.2">
      <c r="A25" s="90">
        <v>1</v>
      </c>
      <c r="B25" s="90">
        <v>36.5</v>
      </c>
      <c r="C25" s="22">
        <f t="shared" si="7"/>
        <v>170480</v>
      </c>
      <c r="D25" s="3">
        <v>6222520</v>
      </c>
      <c r="E25" s="4">
        <v>13</v>
      </c>
      <c r="F25" s="4" t="s">
        <v>36</v>
      </c>
      <c r="G25" s="4">
        <v>1</v>
      </c>
      <c r="H25" s="5">
        <f t="shared" si="8"/>
        <v>6222520</v>
      </c>
    </row>
    <row r="26" spans="1:11" ht="12.75" x14ac:dyDescent="0.2">
      <c r="A26" s="90">
        <v>1</v>
      </c>
      <c r="B26" s="90">
        <v>36.700000000000003</v>
      </c>
      <c r="C26" s="22">
        <f t="shared" si="7"/>
        <v>172531.00817438689</v>
      </c>
      <c r="D26" s="3">
        <v>6331888</v>
      </c>
      <c r="E26" s="4">
        <v>17</v>
      </c>
      <c r="F26" s="4" t="s">
        <v>36</v>
      </c>
      <c r="G26" s="4">
        <v>1</v>
      </c>
      <c r="H26" s="5">
        <f t="shared" si="8"/>
        <v>6331888</v>
      </c>
    </row>
    <row r="27" spans="1:11" ht="12.75" x14ac:dyDescent="0.2">
      <c r="A27" s="90">
        <v>2</v>
      </c>
      <c r="B27" s="90">
        <v>48.9</v>
      </c>
      <c r="C27" s="22">
        <f t="shared" si="7"/>
        <v>170842.76073619633</v>
      </c>
      <c r="D27" s="3">
        <v>8354211</v>
      </c>
      <c r="E27" s="4">
        <v>13</v>
      </c>
      <c r="F27" s="4" t="s">
        <v>36</v>
      </c>
      <c r="G27" s="4">
        <v>1</v>
      </c>
      <c r="H27" s="5">
        <f t="shared" si="8"/>
        <v>8354211</v>
      </c>
    </row>
    <row r="28" spans="1:11" ht="12.75" x14ac:dyDescent="0.2">
      <c r="A28" s="90">
        <v>2</v>
      </c>
      <c r="B28" s="90">
        <v>48.9</v>
      </c>
      <c r="C28" s="22">
        <f t="shared" si="7"/>
        <v>184761.59509202454</v>
      </c>
      <c r="D28" s="3">
        <v>9034842</v>
      </c>
      <c r="E28" s="4">
        <v>16</v>
      </c>
      <c r="F28" s="4" t="s">
        <v>36</v>
      </c>
      <c r="G28" s="4">
        <v>1</v>
      </c>
      <c r="H28" s="5">
        <f t="shared" si="8"/>
        <v>9034842</v>
      </c>
    </row>
    <row r="29" spans="1:11" ht="12.75" x14ac:dyDescent="0.2">
      <c r="A29" s="90">
        <v>2</v>
      </c>
      <c r="B29" s="90">
        <v>49.6</v>
      </c>
      <c r="C29" s="22">
        <f t="shared" si="7"/>
        <v>161671.99596774194</v>
      </c>
      <c r="D29" s="3">
        <v>8018931</v>
      </c>
      <c r="E29" s="4">
        <v>16</v>
      </c>
      <c r="F29" s="4" t="s">
        <v>36</v>
      </c>
      <c r="G29" s="4">
        <v>1</v>
      </c>
      <c r="H29" s="5">
        <f t="shared" si="8"/>
        <v>8018931</v>
      </c>
    </row>
    <row r="30" spans="1:11" ht="12.75" x14ac:dyDescent="0.2">
      <c r="A30" s="90">
        <v>2</v>
      </c>
      <c r="B30" s="90">
        <v>49.8</v>
      </c>
      <c r="C30" s="22">
        <f t="shared" si="7"/>
        <v>161645</v>
      </c>
      <c r="D30" s="3">
        <v>8049921</v>
      </c>
      <c r="E30" s="4">
        <v>17</v>
      </c>
      <c r="F30" s="4" t="s">
        <v>36</v>
      </c>
      <c r="G30" s="4">
        <v>1</v>
      </c>
      <c r="H30" s="5">
        <f t="shared" si="8"/>
        <v>8049921</v>
      </c>
    </row>
    <row r="31" spans="1:11" ht="12.75" x14ac:dyDescent="0.2">
      <c r="A31" s="90">
        <v>2</v>
      </c>
      <c r="B31" s="90">
        <v>50.4</v>
      </c>
      <c r="C31" s="22">
        <f t="shared" si="7"/>
        <v>188776.11111111112</v>
      </c>
      <c r="D31" s="3">
        <v>9514316</v>
      </c>
      <c r="E31" s="4">
        <v>13</v>
      </c>
      <c r="F31" s="4" t="s">
        <v>36</v>
      </c>
      <c r="G31" s="4">
        <v>1</v>
      </c>
      <c r="H31" s="5">
        <f t="shared" ref="H31:H45" si="9">G31*D31</f>
        <v>9514316</v>
      </c>
    </row>
    <row r="32" spans="1:11" ht="12.75" x14ac:dyDescent="0.2">
      <c r="A32" s="90">
        <v>2</v>
      </c>
      <c r="B32" s="90">
        <v>55.4</v>
      </c>
      <c r="C32" s="22">
        <f t="shared" si="7"/>
        <v>174539.24187725631</v>
      </c>
      <c r="D32" s="3">
        <v>9669474</v>
      </c>
      <c r="E32" s="4">
        <v>10</v>
      </c>
      <c r="F32" s="4" t="s">
        <v>36</v>
      </c>
      <c r="G32" s="4">
        <v>1</v>
      </c>
      <c r="H32" s="5">
        <f t="shared" si="9"/>
        <v>9669474</v>
      </c>
    </row>
    <row r="33" spans="1:8" ht="12.75" x14ac:dyDescent="0.2">
      <c r="A33" s="90">
        <v>2</v>
      </c>
      <c r="B33" s="90">
        <v>55.4</v>
      </c>
      <c r="C33" s="22">
        <f t="shared" si="7"/>
        <v>167592.63537906136</v>
      </c>
      <c r="D33" s="3">
        <v>9284632</v>
      </c>
      <c r="E33" s="4">
        <v>11</v>
      </c>
      <c r="F33" s="4" t="s">
        <v>36</v>
      </c>
      <c r="G33" s="4">
        <v>1</v>
      </c>
      <c r="H33" s="5">
        <f t="shared" si="9"/>
        <v>9284632</v>
      </c>
    </row>
    <row r="34" spans="1:8" ht="12" customHeight="1" x14ac:dyDescent="0.2">
      <c r="A34" s="90">
        <v>2</v>
      </c>
      <c r="B34" s="90">
        <v>55.4</v>
      </c>
      <c r="C34" s="22">
        <f t="shared" si="7"/>
        <v>171643.5559566787</v>
      </c>
      <c r="D34" s="3">
        <v>9509053</v>
      </c>
      <c r="E34" s="4">
        <v>14</v>
      </c>
      <c r="F34" s="4" t="s">
        <v>36</v>
      </c>
      <c r="G34" s="4">
        <v>1</v>
      </c>
      <c r="H34" s="5">
        <f t="shared" si="9"/>
        <v>9509053</v>
      </c>
    </row>
    <row r="35" spans="1:8" ht="13.5" customHeight="1" x14ac:dyDescent="0.2">
      <c r="A35" s="90">
        <v>2</v>
      </c>
      <c r="B35" s="90">
        <v>56.4</v>
      </c>
      <c r="C35" s="22">
        <f t="shared" si="7"/>
        <v>167000</v>
      </c>
      <c r="D35" s="3">
        <v>9418800</v>
      </c>
      <c r="E35" s="4">
        <v>2</v>
      </c>
      <c r="F35" s="4" t="s">
        <v>36</v>
      </c>
      <c r="G35" s="4">
        <v>1</v>
      </c>
      <c r="H35" s="5">
        <f t="shared" si="9"/>
        <v>9418800</v>
      </c>
    </row>
    <row r="36" spans="1:8" ht="13.5" customHeight="1" x14ac:dyDescent="0.2">
      <c r="A36" s="90">
        <v>2</v>
      </c>
      <c r="B36" s="90">
        <v>56.6</v>
      </c>
      <c r="C36" s="22">
        <f t="shared" si="7"/>
        <v>155696.9964664311</v>
      </c>
      <c r="D36" s="3">
        <v>8812450</v>
      </c>
      <c r="E36" s="4">
        <v>17</v>
      </c>
      <c r="F36" s="4" t="s">
        <v>36</v>
      </c>
      <c r="G36" s="4">
        <v>1</v>
      </c>
      <c r="H36" s="5">
        <f t="shared" si="9"/>
        <v>8812450</v>
      </c>
    </row>
    <row r="37" spans="1:8" ht="13.5" customHeight="1" x14ac:dyDescent="0.2">
      <c r="A37" s="90">
        <v>2</v>
      </c>
      <c r="B37" s="90">
        <v>56.6</v>
      </c>
      <c r="C37" s="22">
        <f t="shared" si="7"/>
        <v>154600</v>
      </c>
      <c r="D37" s="3">
        <v>8750360</v>
      </c>
      <c r="E37" s="4">
        <v>14</v>
      </c>
      <c r="F37" s="4" t="s">
        <v>36</v>
      </c>
      <c r="G37" s="4">
        <v>1</v>
      </c>
      <c r="H37" s="5">
        <f t="shared" si="9"/>
        <v>8750360</v>
      </c>
    </row>
    <row r="38" spans="1:8" ht="13.5" customHeight="1" x14ac:dyDescent="0.2">
      <c r="A38" s="90">
        <v>2</v>
      </c>
      <c r="B38" s="90">
        <v>56.9</v>
      </c>
      <c r="C38" s="22">
        <f t="shared" si="7"/>
        <v>158852.93497363795</v>
      </c>
      <c r="D38" s="3">
        <v>9038732</v>
      </c>
      <c r="E38" s="4">
        <v>1</v>
      </c>
      <c r="F38" s="4" t="s">
        <v>36</v>
      </c>
      <c r="G38" s="4">
        <v>1</v>
      </c>
      <c r="H38" s="5">
        <f t="shared" si="9"/>
        <v>9038732</v>
      </c>
    </row>
    <row r="39" spans="1:8" ht="13.5" customHeight="1" x14ac:dyDescent="0.2">
      <c r="A39" s="90">
        <v>3</v>
      </c>
      <c r="B39" s="90">
        <v>61.5</v>
      </c>
      <c r="C39" s="22">
        <f t="shared" si="7"/>
        <v>152961.00813008129</v>
      </c>
      <c r="D39" s="3">
        <v>9407102</v>
      </c>
      <c r="E39" s="4">
        <v>13</v>
      </c>
      <c r="F39" s="4" t="s">
        <v>36</v>
      </c>
      <c r="G39" s="4">
        <v>1</v>
      </c>
      <c r="H39" s="5">
        <f t="shared" si="9"/>
        <v>9407102</v>
      </c>
    </row>
    <row r="40" spans="1:8" ht="13.5" customHeight="1" x14ac:dyDescent="0.2">
      <c r="A40" s="90">
        <v>3</v>
      </c>
      <c r="B40" s="90">
        <v>61.5</v>
      </c>
      <c r="C40" s="22">
        <f t="shared" si="7"/>
        <v>152961.00813008129</v>
      </c>
      <c r="D40" s="3">
        <v>9407102</v>
      </c>
      <c r="E40" s="4">
        <v>14</v>
      </c>
      <c r="F40" s="4" t="s">
        <v>36</v>
      </c>
      <c r="G40" s="4">
        <v>1</v>
      </c>
      <c r="H40" s="5">
        <f t="shared" si="9"/>
        <v>9407102</v>
      </c>
    </row>
    <row r="41" spans="1:8" ht="13.5" customHeight="1" x14ac:dyDescent="0.2">
      <c r="A41" s="90">
        <v>3</v>
      </c>
      <c r="B41" s="90">
        <v>68.7</v>
      </c>
      <c r="C41" s="22">
        <f t="shared" si="7"/>
        <v>167696.31732168849</v>
      </c>
      <c r="D41" s="3">
        <v>11520737</v>
      </c>
      <c r="E41" s="4">
        <v>15</v>
      </c>
      <c r="F41" s="4" t="s">
        <v>36</v>
      </c>
      <c r="G41" s="4">
        <v>1</v>
      </c>
      <c r="H41" s="5">
        <f t="shared" si="9"/>
        <v>11520737</v>
      </c>
    </row>
    <row r="42" spans="1:8" ht="13.5" customHeight="1" x14ac:dyDescent="0.2">
      <c r="A42" s="90">
        <v>3</v>
      </c>
      <c r="B42" s="90">
        <v>68.7</v>
      </c>
      <c r="C42" s="22">
        <f t="shared" si="7"/>
        <v>168159.03930131003</v>
      </c>
      <c r="D42" s="3">
        <v>11552526</v>
      </c>
      <c r="E42" s="4">
        <v>16</v>
      </c>
      <c r="F42" s="4" t="s">
        <v>36</v>
      </c>
      <c r="G42" s="4">
        <v>1</v>
      </c>
      <c r="H42" s="5">
        <f t="shared" si="9"/>
        <v>11552526</v>
      </c>
    </row>
    <row r="43" spans="1:8" ht="13.5" customHeight="1" x14ac:dyDescent="0.2">
      <c r="A43" s="90">
        <v>3</v>
      </c>
      <c r="B43" s="90">
        <v>68.7</v>
      </c>
      <c r="C43" s="22">
        <f t="shared" si="7"/>
        <v>159354.93449781658</v>
      </c>
      <c r="D43" s="3">
        <v>10947684</v>
      </c>
      <c r="E43" s="4">
        <v>10</v>
      </c>
      <c r="F43" s="4" t="s">
        <v>36</v>
      </c>
      <c r="G43" s="4">
        <v>1</v>
      </c>
      <c r="H43" s="5">
        <f t="shared" si="9"/>
        <v>10947684</v>
      </c>
    </row>
    <row r="44" spans="1:8" ht="13.5" customHeight="1" x14ac:dyDescent="0.2">
      <c r="A44" s="90">
        <v>3</v>
      </c>
      <c r="B44" s="90">
        <v>68.7</v>
      </c>
      <c r="C44" s="22">
        <f t="shared" si="7"/>
        <v>159808.47161572051</v>
      </c>
      <c r="D44" s="3">
        <v>10978842</v>
      </c>
      <c r="E44" s="4">
        <v>7</v>
      </c>
      <c r="F44" s="4" t="s">
        <v>36</v>
      </c>
      <c r="G44" s="4">
        <v>1</v>
      </c>
      <c r="H44" s="5">
        <f t="shared" si="9"/>
        <v>10978842</v>
      </c>
    </row>
    <row r="45" spans="1:8" ht="13.5" customHeight="1" x14ac:dyDescent="0.2">
      <c r="A45" s="90">
        <v>3</v>
      </c>
      <c r="B45" s="90">
        <v>70</v>
      </c>
      <c r="C45" s="22">
        <f t="shared" si="7"/>
        <v>145300</v>
      </c>
      <c r="D45" s="3">
        <v>10171000</v>
      </c>
      <c r="E45" s="4">
        <v>17</v>
      </c>
      <c r="F45" s="4" t="s">
        <v>36</v>
      </c>
      <c r="G45" s="4">
        <v>1</v>
      </c>
      <c r="H45" s="5">
        <f t="shared" si="9"/>
        <v>10171000</v>
      </c>
    </row>
    <row r="46" spans="1:8" ht="15.75" customHeight="1" x14ac:dyDescent="0.2">
      <c r="A46" s="297" t="s">
        <v>51</v>
      </c>
      <c r="B46" s="297"/>
      <c r="C46" s="297"/>
      <c r="D46" s="297"/>
      <c r="E46" s="297"/>
      <c r="F46" s="93"/>
      <c r="G46"/>
      <c r="H46"/>
    </row>
    <row r="47" spans="1:8" ht="15.75" customHeight="1" x14ac:dyDescent="0.2">
      <c r="A47" s="10" t="s">
        <v>6</v>
      </c>
      <c r="B47" s="10" t="s">
        <v>7</v>
      </c>
      <c r="C47" s="23" t="s">
        <v>11</v>
      </c>
      <c r="D47" s="10" t="s">
        <v>12</v>
      </c>
      <c r="E47" s="2" t="s">
        <v>10</v>
      </c>
      <c r="F47" s="2" t="s">
        <v>9</v>
      </c>
      <c r="G47" s="2" t="s">
        <v>31</v>
      </c>
      <c r="H47" s="15"/>
    </row>
    <row r="48" spans="1:8" ht="14.25" customHeight="1" x14ac:dyDescent="0.2">
      <c r="A48" s="90">
        <v>1</v>
      </c>
      <c r="B48" s="90">
        <v>36.4</v>
      </c>
      <c r="C48" s="22">
        <f t="shared" ref="C48:C59" si="10">D48/B48</f>
        <v>172607.99450549451</v>
      </c>
      <c r="D48" s="3">
        <v>6282931</v>
      </c>
      <c r="E48" s="4">
        <v>9</v>
      </c>
      <c r="F48" s="4" t="s">
        <v>36</v>
      </c>
      <c r="G48" s="4">
        <v>1</v>
      </c>
      <c r="H48" s="5">
        <f t="shared" ref="H48:H59" si="11">G48*D48</f>
        <v>6282931</v>
      </c>
    </row>
    <row r="49" spans="1:8" ht="14.25" customHeight="1" x14ac:dyDescent="0.2">
      <c r="A49" s="90">
        <v>1</v>
      </c>
      <c r="B49" s="90">
        <v>36.4</v>
      </c>
      <c r="C49" s="22">
        <f t="shared" si="10"/>
        <v>172607.99450549451</v>
      </c>
      <c r="D49" s="3">
        <v>6282931</v>
      </c>
      <c r="E49" s="4">
        <v>15</v>
      </c>
      <c r="F49" s="4" t="s">
        <v>36</v>
      </c>
      <c r="G49" s="4">
        <v>1</v>
      </c>
      <c r="H49" s="5">
        <f t="shared" si="11"/>
        <v>6282931</v>
      </c>
    </row>
    <row r="50" spans="1:8" ht="14.25" customHeight="1" x14ac:dyDescent="0.2">
      <c r="A50" s="90">
        <v>1</v>
      </c>
      <c r="B50" s="90">
        <v>36.6</v>
      </c>
      <c r="C50" s="22">
        <f t="shared" si="10"/>
        <v>172556.01092896174</v>
      </c>
      <c r="D50" s="3">
        <v>6315550</v>
      </c>
      <c r="E50" s="4">
        <v>13</v>
      </c>
      <c r="F50" s="4" t="s">
        <v>36</v>
      </c>
      <c r="G50" s="4">
        <v>1</v>
      </c>
      <c r="H50" s="5">
        <f t="shared" si="11"/>
        <v>6315550</v>
      </c>
    </row>
    <row r="51" spans="1:8" ht="14.25" customHeight="1" x14ac:dyDescent="0.2">
      <c r="A51" s="90">
        <v>1</v>
      </c>
      <c r="B51" s="90">
        <v>36.6</v>
      </c>
      <c r="C51" s="22">
        <f t="shared" si="10"/>
        <v>172556.01092896174</v>
      </c>
      <c r="D51" s="3">
        <v>6315550</v>
      </c>
      <c r="E51" s="4">
        <v>14</v>
      </c>
      <c r="F51" s="4" t="s">
        <v>36</v>
      </c>
      <c r="G51" s="4">
        <v>1</v>
      </c>
      <c r="H51" s="5">
        <f t="shared" si="11"/>
        <v>6315550</v>
      </c>
    </row>
    <row r="52" spans="1:8" ht="14.25" customHeight="1" x14ac:dyDescent="0.2">
      <c r="A52" s="90">
        <v>2</v>
      </c>
      <c r="B52" s="90">
        <v>45.5</v>
      </c>
      <c r="C52" s="22">
        <f t="shared" si="10"/>
        <v>165455.010989011</v>
      </c>
      <c r="D52" s="3">
        <v>7528203</v>
      </c>
      <c r="E52" s="4">
        <v>9</v>
      </c>
      <c r="F52" s="4" t="s">
        <v>36</v>
      </c>
      <c r="G52" s="4">
        <v>1</v>
      </c>
      <c r="H52" s="5">
        <f t="shared" si="11"/>
        <v>7528203</v>
      </c>
    </row>
    <row r="53" spans="1:8" ht="14.25" customHeight="1" x14ac:dyDescent="0.2">
      <c r="A53" s="90">
        <v>2</v>
      </c>
      <c r="B53" s="90">
        <v>46.2</v>
      </c>
      <c r="C53" s="22">
        <f t="shared" si="10"/>
        <v>160076.99134199132</v>
      </c>
      <c r="D53" s="3">
        <v>7395557</v>
      </c>
      <c r="E53" s="4">
        <v>2</v>
      </c>
      <c r="F53" s="4" t="s">
        <v>36</v>
      </c>
      <c r="G53" s="4">
        <v>1</v>
      </c>
      <c r="H53" s="5">
        <f t="shared" si="11"/>
        <v>7395557</v>
      </c>
    </row>
    <row r="54" spans="1:8" ht="14.25" customHeight="1" x14ac:dyDescent="0.2">
      <c r="A54" s="90">
        <v>2</v>
      </c>
      <c r="B54" s="90">
        <v>46.4</v>
      </c>
      <c r="C54" s="22">
        <f t="shared" si="10"/>
        <v>154782.00431034484</v>
      </c>
      <c r="D54" s="3">
        <v>7181885</v>
      </c>
      <c r="E54" s="4">
        <v>1</v>
      </c>
      <c r="F54" s="4" t="s">
        <v>36</v>
      </c>
      <c r="G54" s="4">
        <v>1</v>
      </c>
      <c r="H54" s="5">
        <f t="shared" si="11"/>
        <v>7181885</v>
      </c>
    </row>
    <row r="55" spans="1:8" ht="14.25" customHeight="1" x14ac:dyDescent="0.2">
      <c r="A55" s="90">
        <v>2</v>
      </c>
      <c r="B55" s="90">
        <v>49.6</v>
      </c>
      <c r="C55" s="22">
        <f t="shared" si="10"/>
        <v>159570</v>
      </c>
      <c r="D55" s="3">
        <v>7914672</v>
      </c>
      <c r="E55" s="4">
        <v>17</v>
      </c>
      <c r="F55" s="4" t="s">
        <v>36</v>
      </c>
      <c r="G55" s="4">
        <v>1</v>
      </c>
      <c r="H55" s="5">
        <f t="shared" si="11"/>
        <v>7914672</v>
      </c>
    </row>
    <row r="56" spans="1:8" ht="14.25" customHeight="1" x14ac:dyDescent="0.2">
      <c r="A56" s="90">
        <v>2</v>
      </c>
      <c r="B56" s="90">
        <v>49.8</v>
      </c>
      <c r="C56" s="22">
        <f t="shared" si="10"/>
        <v>157432.99196787149</v>
      </c>
      <c r="D56" s="3">
        <v>7840163</v>
      </c>
      <c r="E56" s="4">
        <v>15</v>
      </c>
      <c r="F56" s="4" t="s">
        <v>36</v>
      </c>
      <c r="G56" s="4">
        <v>1</v>
      </c>
      <c r="H56" s="5">
        <f t="shared" si="11"/>
        <v>7840163</v>
      </c>
    </row>
    <row r="57" spans="1:8" ht="14.25" customHeight="1" x14ac:dyDescent="0.2">
      <c r="A57" s="90">
        <v>2</v>
      </c>
      <c r="B57" s="90">
        <v>50.1</v>
      </c>
      <c r="C57" s="22">
        <f t="shared" si="10"/>
        <v>159500</v>
      </c>
      <c r="D57" s="3">
        <v>7990950</v>
      </c>
      <c r="E57" s="4">
        <v>16</v>
      </c>
      <c r="F57" s="4" t="s">
        <v>36</v>
      </c>
      <c r="G57" s="4">
        <v>1</v>
      </c>
      <c r="H57" s="5">
        <f t="shared" si="11"/>
        <v>7990950</v>
      </c>
    </row>
    <row r="58" spans="1:8" ht="14.25" customHeight="1" x14ac:dyDescent="0.2">
      <c r="A58" s="90">
        <v>2</v>
      </c>
      <c r="B58" s="90">
        <v>56.4</v>
      </c>
      <c r="C58" s="22">
        <f t="shared" si="10"/>
        <v>150309.00709219859</v>
      </c>
      <c r="D58" s="3">
        <v>8477428</v>
      </c>
      <c r="E58" s="4">
        <v>2</v>
      </c>
      <c r="F58" s="4" t="s">
        <v>36</v>
      </c>
      <c r="G58" s="4">
        <v>1</v>
      </c>
      <c r="H58" s="5">
        <f t="shared" si="11"/>
        <v>8477428</v>
      </c>
    </row>
    <row r="59" spans="1:8" ht="14.25" customHeight="1" x14ac:dyDescent="0.2">
      <c r="A59" s="90">
        <v>2</v>
      </c>
      <c r="B59" s="90">
        <v>56.5</v>
      </c>
      <c r="C59" s="22">
        <f t="shared" si="10"/>
        <v>148193.00884955752</v>
      </c>
      <c r="D59" s="3">
        <v>8372905</v>
      </c>
      <c r="E59" s="4">
        <v>1</v>
      </c>
      <c r="F59" s="4" t="s">
        <v>36</v>
      </c>
      <c r="G59" s="4">
        <v>1</v>
      </c>
      <c r="H59" s="5">
        <f t="shared" si="11"/>
        <v>8372905</v>
      </c>
    </row>
    <row r="60" spans="1:8" ht="15.75" customHeight="1" x14ac:dyDescent="0.2">
      <c r="A60" s="297" t="s">
        <v>58</v>
      </c>
      <c r="B60" s="297"/>
      <c r="C60" s="297"/>
      <c r="D60" s="297"/>
      <c r="E60" s="297"/>
      <c r="F60" s="118" t="s">
        <v>371</v>
      </c>
      <c r="G60" s="95" t="s">
        <v>297</v>
      </c>
    </row>
    <row r="61" spans="1:8" ht="13.5" customHeight="1" x14ac:dyDescent="0.2">
      <c r="A61" s="90">
        <v>1</v>
      </c>
      <c r="B61" s="90">
        <v>37.4</v>
      </c>
      <c r="C61" s="22">
        <f t="shared" ref="C61:C68" si="12">D61/B61</f>
        <v>182032.08556149734</v>
      </c>
      <c r="D61" s="6">
        <v>6808000</v>
      </c>
      <c r="E61" s="4">
        <v>11</v>
      </c>
      <c r="F61" s="4" t="s">
        <v>36</v>
      </c>
      <c r="G61" s="4">
        <v>1</v>
      </c>
      <c r="H61" s="5">
        <f t="shared" ref="H61:H65" si="13">G61*D61</f>
        <v>6808000</v>
      </c>
    </row>
    <row r="62" spans="1:8" ht="13.5" customHeight="1" x14ac:dyDescent="0.2">
      <c r="A62" s="90">
        <v>1</v>
      </c>
      <c r="B62" s="90">
        <v>37.4</v>
      </c>
      <c r="C62" s="22">
        <f t="shared" si="12"/>
        <v>184545.45454545456</v>
      </c>
      <c r="D62" s="6">
        <v>6902000</v>
      </c>
      <c r="E62" s="4">
        <v>15</v>
      </c>
      <c r="F62" s="4" t="s">
        <v>36</v>
      </c>
      <c r="G62" s="4">
        <v>1</v>
      </c>
      <c r="H62" s="5">
        <f t="shared" si="13"/>
        <v>6902000</v>
      </c>
    </row>
    <row r="63" spans="1:8" ht="13.5" customHeight="1" x14ac:dyDescent="0.2">
      <c r="A63" s="90">
        <v>1</v>
      </c>
      <c r="B63" s="90">
        <v>37.4</v>
      </c>
      <c r="C63" s="22">
        <f t="shared" si="12"/>
        <v>184545.45454545456</v>
      </c>
      <c r="D63" s="6">
        <v>6902000</v>
      </c>
      <c r="E63" s="4">
        <v>13</v>
      </c>
      <c r="F63" s="4" t="s">
        <v>36</v>
      </c>
      <c r="G63" s="4">
        <v>1</v>
      </c>
      <c r="H63" s="5">
        <f t="shared" si="13"/>
        <v>6902000</v>
      </c>
    </row>
    <row r="64" spans="1:8" ht="13.5" customHeight="1" x14ac:dyDescent="0.2">
      <c r="A64" s="90">
        <v>2</v>
      </c>
      <c r="B64" s="90">
        <v>52.4</v>
      </c>
      <c r="C64" s="22">
        <f t="shared" si="12"/>
        <v>169239.69465648854</v>
      </c>
      <c r="D64" s="6">
        <v>8868160</v>
      </c>
      <c r="E64" s="4">
        <v>17</v>
      </c>
      <c r="F64" s="4" t="s">
        <v>36</v>
      </c>
      <c r="G64" s="4">
        <v>1</v>
      </c>
      <c r="H64" s="5">
        <f t="shared" si="13"/>
        <v>8868160</v>
      </c>
    </row>
    <row r="65" spans="1:8" ht="13.5" customHeight="1" x14ac:dyDescent="0.2">
      <c r="A65" s="90">
        <v>2</v>
      </c>
      <c r="B65" s="90">
        <v>56.6</v>
      </c>
      <c r="C65" s="22">
        <f t="shared" si="12"/>
        <v>161594.52296819788</v>
      </c>
      <c r="D65" s="6">
        <v>9146250</v>
      </c>
      <c r="E65" s="4">
        <v>1</v>
      </c>
      <c r="F65" s="4" t="s">
        <v>36</v>
      </c>
      <c r="G65" s="4">
        <v>1</v>
      </c>
      <c r="H65" s="5">
        <f t="shared" si="13"/>
        <v>9146250</v>
      </c>
    </row>
    <row r="66" spans="1:8" ht="13.5" customHeight="1" x14ac:dyDescent="0.2">
      <c r="A66" s="90">
        <v>3</v>
      </c>
      <c r="B66" s="90">
        <v>87.8</v>
      </c>
      <c r="C66" s="25">
        <f t="shared" si="12"/>
        <v>152148.40546697041</v>
      </c>
      <c r="D66" s="6">
        <v>13358630</v>
      </c>
      <c r="E66" s="4">
        <v>15</v>
      </c>
      <c r="F66" s="4" t="s">
        <v>36</v>
      </c>
      <c r="G66" s="4">
        <v>1</v>
      </c>
      <c r="H66" s="4">
        <f t="shared" ref="H66:H68" si="14">G66*D66</f>
        <v>13358630</v>
      </c>
    </row>
    <row r="67" spans="1:8" ht="13.5" customHeight="1" x14ac:dyDescent="0.2">
      <c r="A67" s="90">
        <v>3</v>
      </c>
      <c r="B67" s="90">
        <v>87.8</v>
      </c>
      <c r="C67" s="25">
        <f t="shared" si="12"/>
        <v>152318.22323462414</v>
      </c>
      <c r="D67" s="6">
        <v>13373540</v>
      </c>
      <c r="E67" s="4">
        <v>14</v>
      </c>
      <c r="F67" s="4" t="s">
        <v>36</v>
      </c>
      <c r="G67" s="4">
        <v>1</v>
      </c>
      <c r="H67" s="4">
        <f t="shared" si="14"/>
        <v>13373540</v>
      </c>
    </row>
    <row r="68" spans="1:8" ht="13.5" customHeight="1" x14ac:dyDescent="0.2">
      <c r="A68" s="90">
        <v>3</v>
      </c>
      <c r="B68" s="90">
        <v>87.8</v>
      </c>
      <c r="C68" s="25">
        <f t="shared" si="12"/>
        <v>151978.58769931665</v>
      </c>
      <c r="D68" s="6">
        <v>13343720</v>
      </c>
      <c r="E68" s="4">
        <v>13</v>
      </c>
      <c r="F68" s="4" t="s">
        <v>36</v>
      </c>
      <c r="G68" s="4">
        <v>1</v>
      </c>
      <c r="H68" s="4">
        <f t="shared" si="14"/>
        <v>13343720</v>
      </c>
    </row>
    <row r="69" spans="1:8" ht="15.75" customHeight="1" x14ac:dyDescent="0.2">
      <c r="A69" s="297" t="s">
        <v>87</v>
      </c>
      <c r="B69" s="297"/>
      <c r="C69" s="297"/>
      <c r="D69" s="297"/>
      <c r="E69" s="297"/>
      <c r="F69" s="93"/>
      <c r="G69" s="34" t="s">
        <v>88</v>
      </c>
    </row>
    <row r="70" spans="1:8" ht="15.75" customHeight="1" x14ac:dyDescent="0.2">
      <c r="A70" s="10" t="s">
        <v>6</v>
      </c>
      <c r="B70" s="10" t="s">
        <v>7</v>
      </c>
      <c r="C70" s="23" t="s">
        <v>11</v>
      </c>
      <c r="D70" s="10" t="s">
        <v>12</v>
      </c>
      <c r="E70" s="2" t="s">
        <v>10</v>
      </c>
      <c r="F70" s="2" t="s">
        <v>9</v>
      </c>
      <c r="G70" s="2" t="s">
        <v>31</v>
      </c>
      <c r="H70" s="5"/>
    </row>
    <row r="71" spans="1:8" ht="15.75" customHeight="1" x14ac:dyDescent="0.2">
      <c r="A71" s="90">
        <v>2</v>
      </c>
      <c r="B71" s="90">
        <v>52.37</v>
      </c>
      <c r="C71" s="22">
        <f t="shared" ref="C71:C82" si="15">D71/B71</f>
        <v>220000</v>
      </c>
      <c r="D71" s="3">
        <v>11521400</v>
      </c>
      <c r="E71" s="4">
        <v>1</v>
      </c>
      <c r="F71" s="33" t="s">
        <v>36</v>
      </c>
      <c r="G71" s="4">
        <v>1</v>
      </c>
      <c r="H71" s="5">
        <f t="shared" ref="H71:H79" si="16">G71*D71</f>
        <v>11521400</v>
      </c>
    </row>
    <row r="72" spans="1:8" ht="15.75" customHeight="1" x14ac:dyDescent="0.2">
      <c r="A72" s="90">
        <v>2</v>
      </c>
      <c r="B72" s="90">
        <v>53.93</v>
      </c>
      <c r="C72" s="22">
        <f t="shared" si="15"/>
        <v>220000</v>
      </c>
      <c r="D72" s="3">
        <v>11864600</v>
      </c>
      <c r="E72" s="4">
        <v>1</v>
      </c>
      <c r="F72" s="33" t="s">
        <v>36</v>
      </c>
      <c r="G72" s="4">
        <v>1</v>
      </c>
      <c r="H72" s="5">
        <f t="shared" si="16"/>
        <v>11864600</v>
      </c>
    </row>
    <row r="73" spans="1:8" ht="15.75" customHeight="1" x14ac:dyDescent="0.2">
      <c r="A73" s="90">
        <v>2</v>
      </c>
      <c r="B73" s="90">
        <v>62.8</v>
      </c>
      <c r="C73" s="22">
        <f t="shared" si="15"/>
        <v>217930.57324840766</v>
      </c>
      <c r="D73" s="3">
        <v>13686040</v>
      </c>
      <c r="E73" s="4">
        <v>2</v>
      </c>
      <c r="F73" s="33" t="s">
        <v>36</v>
      </c>
      <c r="G73" s="4">
        <v>1</v>
      </c>
      <c r="H73" s="5">
        <f t="shared" si="16"/>
        <v>13686040</v>
      </c>
    </row>
    <row r="74" spans="1:8" ht="15.75" customHeight="1" x14ac:dyDescent="0.2">
      <c r="A74" s="90">
        <v>2</v>
      </c>
      <c r="B74" s="90">
        <v>62.8</v>
      </c>
      <c r="C74" s="22">
        <f t="shared" si="15"/>
        <v>224928.34394904459</v>
      </c>
      <c r="D74" s="3">
        <v>14125500</v>
      </c>
      <c r="E74" s="4">
        <v>4</v>
      </c>
      <c r="F74" s="33" t="s">
        <v>36</v>
      </c>
      <c r="G74" s="4">
        <v>1</v>
      </c>
      <c r="H74" s="5">
        <f t="shared" si="16"/>
        <v>14125500</v>
      </c>
    </row>
    <row r="75" spans="1:8" ht="15.75" customHeight="1" x14ac:dyDescent="0.2">
      <c r="A75" s="90">
        <v>2</v>
      </c>
      <c r="B75" s="90">
        <v>64.739999999999995</v>
      </c>
      <c r="C75" s="22">
        <f t="shared" si="15"/>
        <v>213000.00000000003</v>
      </c>
      <c r="D75" s="3">
        <v>13789620</v>
      </c>
      <c r="E75" s="4">
        <v>1</v>
      </c>
      <c r="F75" s="33" t="s">
        <v>36</v>
      </c>
      <c r="G75" s="4">
        <v>1</v>
      </c>
      <c r="H75" s="5">
        <f t="shared" si="16"/>
        <v>13789620</v>
      </c>
    </row>
    <row r="76" spans="1:8" ht="15.75" customHeight="1" x14ac:dyDescent="0.2">
      <c r="A76" s="90">
        <v>3</v>
      </c>
      <c r="B76" s="90">
        <v>73.72</v>
      </c>
      <c r="C76" s="22">
        <f t="shared" si="15"/>
        <v>218000</v>
      </c>
      <c r="D76" s="3">
        <v>16070960</v>
      </c>
      <c r="E76" s="4">
        <v>1</v>
      </c>
      <c r="F76" s="33" t="s">
        <v>36</v>
      </c>
      <c r="G76" s="4">
        <v>1</v>
      </c>
      <c r="H76" s="5">
        <f t="shared" si="16"/>
        <v>16070960</v>
      </c>
    </row>
    <row r="77" spans="1:8" ht="15.75" customHeight="1" x14ac:dyDescent="0.2">
      <c r="A77" s="90">
        <v>3</v>
      </c>
      <c r="B77" s="90">
        <v>84.64</v>
      </c>
      <c r="C77" s="22">
        <f t="shared" si="15"/>
        <v>215000</v>
      </c>
      <c r="D77" s="3">
        <v>18197600</v>
      </c>
      <c r="E77" s="4">
        <v>2</v>
      </c>
      <c r="F77" s="33" t="s">
        <v>36</v>
      </c>
      <c r="G77" s="4">
        <v>1</v>
      </c>
      <c r="H77" s="4">
        <f t="shared" si="16"/>
        <v>18197600</v>
      </c>
    </row>
    <row r="78" spans="1:8" ht="15.75" customHeight="1" x14ac:dyDescent="0.2">
      <c r="A78" s="90">
        <v>3</v>
      </c>
      <c r="B78" s="90">
        <v>85.83</v>
      </c>
      <c r="C78" s="22">
        <f t="shared" si="15"/>
        <v>210000</v>
      </c>
      <c r="D78" s="3">
        <v>18024300</v>
      </c>
      <c r="E78" s="4">
        <v>1</v>
      </c>
      <c r="F78" s="33" t="s">
        <v>36</v>
      </c>
      <c r="G78" s="4">
        <v>1</v>
      </c>
      <c r="H78" s="4">
        <f t="shared" si="16"/>
        <v>18024300</v>
      </c>
    </row>
    <row r="79" spans="1:8" ht="15.75" customHeight="1" x14ac:dyDescent="0.2">
      <c r="A79" s="90">
        <v>3</v>
      </c>
      <c r="B79" s="90">
        <v>87.93</v>
      </c>
      <c r="C79" s="22">
        <f t="shared" si="15"/>
        <v>216999.99999999997</v>
      </c>
      <c r="D79" s="3">
        <v>19080810</v>
      </c>
      <c r="E79" s="4">
        <v>1</v>
      </c>
      <c r="F79" s="33" t="s">
        <v>36</v>
      </c>
      <c r="G79" s="4">
        <v>1</v>
      </c>
      <c r="H79" s="4">
        <f t="shared" si="16"/>
        <v>19080810</v>
      </c>
    </row>
    <row r="80" spans="1:8" ht="15.75" customHeight="1" x14ac:dyDescent="0.2">
      <c r="A80" s="90">
        <v>3</v>
      </c>
      <c r="B80" s="90">
        <v>93.7</v>
      </c>
      <c r="C80" s="22">
        <f t="shared" si="15"/>
        <v>220070.43756670223</v>
      </c>
      <c r="D80" s="3">
        <v>20620600</v>
      </c>
      <c r="E80" s="4">
        <v>4</v>
      </c>
      <c r="F80" s="33" t="s">
        <v>36</v>
      </c>
      <c r="G80" s="4">
        <v>1</v>
      </c>
      <c r="H80" s="3">
        <f t="shared" ref="H80:H82" si="17">G80*D80</f>
        <v>20620600</v>
      </c>
    </row>
    <row r="81" spans="1:8" ht="15.75" customHeight="1" x14ac:dyDescent="0.2">
      <c r="A81" s="90">
        <v>3</v>
      </c>
      <c r="B81" s="90">
        <v>93.7</v>
      </c>
      <c r="C81" s="22">
        <f t="shared" si="15"/>
        <v>225072.03842049092</v>
      </c>
      <c r="D81" s="3">
        <v>21089250</v>
      </c>
      <c r="E81" s="4">
        <v>2</v>
      </c>
      <c r="F81" s="33" t="s">
        <v>36</v>
      </c>
      <c r="G81" s="4">
        <v>1</v>
      </c>
      <c r="H81" s="3">
        <f t="shared" si="17"/>
        <v>21089250</v>
      </c>
    </row>
    <row r="82" spans="1:8" ht="15.75" customHeight="1" x14ac:dyDescent="0.2">
      <c r="A82" s="90">
        <v>4</v>
      </c>
      <c r="B82" s="90">
        <v>101.4</v>
      </c>
      <c r="C82" s="22">
        <f t="shared" si="15"/>
        <v>216935.79881656804</v>
      </c>
      <c r="D82" s="3">
        <v>21997290</v>
      </c>
      <c r="E82" s="4">
        <v>1</v>
      </c>
      <c r="F82" s="33" t="s">
        <v>36</v>
      </c>
      <c r="G82" s="4">
        <v>1</v>
      </c>
      <c r="H82" s="3">
        <f t="shared" si="17"/>
        <v>21997290</v>
      </c>
    </row>
    <row r="83" spans="1:8" ht="15.75" customHeight="1" x14ac:dyDescent="0.2">
      <c r="A83" s="299" t="s">
        <v>161</v>
      </c>
      <c r="B83" s="294"/>
      <c r="C83" s="294"/>
      <c r="D83" s="294"/>
      <c r="E83" s="294"/>
      <c r="F83" s="294"/>
      <c r="H83" s="3"/>
    </row>
    <row r="84" spans="1:8" ht="15.75" customHeight="1" x14ac:dyDescent="0.2">
      <c r="A84" s="10" t="s">
        <v>6</v>
      </c>
      <c r="B84" s="10" t="s">
        <v>7</v>
      </c>
      <c r="C84" s="23" t="s">
        <v>11</v>
      </c>
      <c r="D84" s="10" t="s">
        <v>12</v>
      </c>
      <c r="E84" s="2" t="s">
        <v>10</v>
      </c>
      <c r="F84" s="2" t="s">
        <v>9</v>
      </c>
      <c r="H84" s="3"/>
    </row>
    <row r="85" spans="1:8" ht="15.75" customHeight="1" x14ac:dyDescent="0.2">
      <c r="A85" s="120">
        <v>1</v>
      </c>
      <c r="B85" s="120">
        <v>34.6</v>
      </c>
      <c r="C85" s="121">
        <f t="shared" ref="C85:C154" si="18">D85/B85</f>
        <v>199884.39306358382</v>
      </c>
      <c r="D85" s="122">
        <v>6916000</v>
      </c>
      <c r="E85" s="120">
        <v>14</v>
      </c>
      <c r="F85" s="33" t="s">
        <v>36</v>
      </c>
      <c r="G85" s="5">
        <v>1</v>
      </c>
      <c r="H85" s="5">
        <f t="shared" ref="H85:H154" si="19">G85*D85</f>
        <v>6916000</v>
      </c>
    </row>
    <row r="86" spans="1:8" ht="15.75" customHeight="1" x14ac:dyDescent="0.2">
      <c r="A86" s="120">
        <v>1</v>
      </c>
      <c r="B86" s="120">
        <v>34.6</v>
      </c>
      <c r="C86" s="121">
        <f t="shared" si="18"/>
        <v>200173.41040462427</v>
      </c>
      <c r="D86" s="122">
        <v>6926000</v>
      </c>
      <c r="E86" s="120">
        <v>11</v>
      </c>
      <c r="F86" s="33" t="s">
        <v>36</v>
      </c>
      <c r="G86" s="5">
        <v>1</v>
      </c>
      <c r="H86" s="5">
        <f t="shared" si="19"/>
        <v>6926000</v>
      </c>
    </row>
    <row r="87" spans="1:8" ht="15.75" customHeight="1" x14ac:dyDescent="0.2">
      <c r="A87" s="120">
        <v>1</v>
      </c>
      <c r="B87" s="120">
        <v>34.6</v>
      </c>
      <c r="C87" s="121">
        <f t="shared" si="18"/>
        <v>200173.41040462427</v>
      </c>
      <c r="D87" s="122">
        <v>6926000</v>
      </c>
      <c r="E87" s="120">
        <v>13</v>
      </c>
      <c r="F87" s="33" t="s">
        <v>36</v>
      </c>
      <c r="G87" s="5">
        <v>1</v>
      </c>
      <c r="H87" s="5">
        <f t="shared" si="19"/>
        <v>6926000</v>
      </c>
    </row>
    <row r="88" spans="1:8" ht="15.75" customHeight="1" x14ac:dyDescent="0.2">
      <c r="A88" s="120">
        <v>1</v>
      </c>
      <c r="B88" s="120">
        <v>34.6</v>
      </c>
      <c r="C88" s="121">
        <f t="shared" si="18"/>
        <v>200173.41040462427</v>
      </c>
      <c r="D88" s="122">
        <v>6926000</v>
      </c>
      <c r="E88" s="120">
        <v>12</v>
      </c>
      <c r="F88" s="33" t="s">
        <v>36</v>
      </c>
      <c r="G88" s="5">
        <v>1</v>
      </c>
      <c r="H88" s="5">
        <f t="shared" si="19"/>
        <v>6926000</v>
      </c>
    </row>
    <row r="89" spans="1:8" ht="15.75" customHeight="1" x14ac:dyDescent="0.2">
      <c r="A89" s="120">
        <v>1</v>
      </c>
      <c r="B89" s="120">
        <v>34.6</v>
      </c>
      <c r="C89" s="121">
        <f t="shared" si="18"/>
        <v>201883.23699421965</v>
      </c>
      <c r="D89" s="122">
        <v>6985160</v>
      </c>
      <c r="E89" s="120">
        <v>13</v>
      </c>
      <c r="F89" s="33" t="s">
        <v>36</v>
      </c>
      <c r="G89" s="5">
        <v>1</v>
      </c>
      <c r="H89" s="5">
        <f t="shared" si="19"/>
        <v>6985160</v>
      </c>
    </row>
    <row r="90" spans="1:8" ht="15.75" customHeight="1" x14ac:dyDescent="0.2">
      <c r="A90" s="120">
        <v>1</v>
      </c>
      <c r="B90" s="120">
        <v>34.6</v>
      </c>
      <c r="C90" s="121">
        <f t="shared" si="18"/>
        <v>201883.23699421965</v>
      </c>
      <c r="D90" s="122">
        <v>6985160</v>
      </c>
      <c r="E90" s="120">
        <v>14</v>
      </c>
      <c r="F90" s="33" t="s">
        <v>36</v>
      </c>
      <c r="G90" s="5">
        <v>1</v>
      </c>
      <c r="H90" s="5">
        <f t="shared" si="19"/>
        <v>6985160</v>
      </c>
    </row>
    <row r="91" spans="1:8" ht="15.75" customHeight="1" x14ac:dyDescent="0.2">
      <c r="A91" s="120">
        <v>1</v>
      </c>
      <c r="B91" s="120">
        <v>34.6</v>
      </c>
      <c r="C91" s="121">
        <f t="shared" si="18"/>
        <v>202175.14450867052</v>
      </c>
      <c r="D91" s="122">
        <v>6995260</v>
      </c>
      <c r="E91" s="120">
        <v>11</v>
      </c>
      <c r="F91" s="33" t="s">
        <v>36</v>
      </c>
      <c r="G91" s="5">
        <v>1</v>
      </c>
      <c r="H91" s="5">
        <f t="shared" si="19"/>
        <v>6995260</v>
      </c>
    </row>
    <row r="92" spans="1:8" ht="15.75" customHeight="1" x14ac:dyDescent="0.2">
      <c r="A92" s="120">
        <v>1</v>
      </c>
      <c r="B92" s="120">
        <v>34.6</v>
      </c>
      <c r="C92" s="121">
        <f t="shared" si="18"/>
        <v>202175.14450867052</v>
      </c>
      <c r="D92" s="122">
        <v>6995260</v>
      </c>
      <c r="E92" s="120">
        <v>10</v>
      </c>
      <c r="F92" s="33" t="s">
        <v>36</v>
      </c>
      <c r="G92" s="5">
        <v>1</v>
      </c>
      <c r="H92" s="5">
        <f t="shared" si="19"/>
        <v>6995260</v>
      </c>
    </row>
    <row r="93" spans="1:8" ht="15.75" customHeight="1" x14ac:dyDescent="0.2">
      <c r="A93" s="120">
        <v>1</v>
      </c>
      <c r="B93" s="120">
        <v>34.6</v>
      </c>
      <c r="C93" s="121">
        <f t="shared" si="18"/>
        <v>202175.14450867052</v>
      </c>
      <c r="D93" s="122">
        <v>6995260</v>
      </c>
      <c r="E93" s="120">
        <v>12</v>
      </c>
      <c r="F93" s="33" t="s">
        <v>36</v>
      </c>
      <c r="G93" s="5">
        <v>1</v>
      </c>
      <c r="H93" s="5">
        <f t="shared" si="19"/>
        <v>6995260</v>
      </c>
    </row>
    <row r="94" spans="1:8" ht="15.75" customHeight="1" x14ac:dyDescent="0.2">
      <c r="A94" s="120">
        <v>1</v>
      </c>
      <c r="B94" s="120">
        <v>34.6</v>
      </c>
      <c r="C94" s="121">
        <f t="shared" si="18"/>
        <v>204881.5028901734</v>
      </c>
      <c r="D94" s="122">
        <v>7088900</v>
      </c>
      <c r="E94" s="120">
        <v>15</v>
      </c>
      <c r="F94" s="33" t="s">
        <v>36</v>
      </c>
      <c r="G94" s="5">
        <v>1</v>
      </c>
      <c r="H94" s="5">
        <f t="shared" si="19"/>
        <v>7088900</v>
      </c>
    </row>
    <row r="95" spans="1:8" ht="15.75" customHeight="1" x14ac:dyDescent="0.2">
      <c r="A95" s="120">
        <v>1</v>
      </c>
      <c r="B95" s="120">
        <v>34.6</v>
      </c>
      <c r="C95" s="121">
        <f t="shared" si="18"/>
        <v>204881.5028901734</v>
      </c>
      <c r="D95" s="122">
        <v>7088900</v>
      </c>
      <c r="E95" s="120">
        <v>16</v>
      </c>
      <c r="F95" s="33" t="s">
        <v>36</v>
      </c>
      <c r="G95" s="5">
        <v>1</v>
      </c>
      <c r="H95" s="5">
        <f t="shared" si="19"/>
        <v>7088900</v>
      </c>
    </row>
    <row r="96" spans="1:8" ht="15.75" customHeight="1" x14ac:dyDescent="0.2">
      <c r="A96" s="120">
        <v>1</v>
      </c>
      <c r="B96" s="120">
        <v>34.6</v>
      </c>
      <c r="C96" s="121">
        <f t="shared" si="18"/>
        <v>204881.5028901734</v>
      </c>
      <c r="D96" s="122">
        <v>7088900</v>
      </c>
      <c r="E96" s="120">
        <v>17</v>
      </c>
      <c r="F96" s="33" t="s">
        <v>36</v>
      </c>
      <c r="G96" s="5">
        <v>1</v>
      </c>
      <c r="H96" s="5">
        <f t="shared" si="19"/>
        <v>7088900</v>
      </c>
    </row>
    <row r="97" spans="1:8" ht="15.75" customHeight="1" x14ac:dyDescent="0.2">
      <c r="A97" s="120">
        <v>1</v>
      </c>
      <c r="B97" s="120">
        <v>34.6</v>
      </c>
      <c r="C97" s="121">
        <f t="shared" ref="C97" si="20">D97/B97</f>
        <v>204881.5028901734</v>
      </c>
      <c r="D97" s="122">
        <v>7088900</v>
      </c>
      <c r="E97" s="120">
        <v>15</v>
      </c>
      <c r="F97" s="33" t="s">
        <v>36</v>
      </c>
      <c r="G97" s="5">
        <v>1</v>
      </c>
      <c r="H97" s="5">
        <f t="shared" ref="H97" si="21">G97*D97</f>
        <v>7088900</v>
      </c>
    </row>
    <row r="98" spans="1:8" ht="15.75" customHeight="1" x14ac:dyDescent="0.2">
      <c r="A98" s="120">
        <v>1</v>
      </c>
      <c r="B98" s="120">
        <v>34.6</v>
      </c>
      <c r="C98" s="121">
        <f t="shared" si="18"/>
        <v>207879.76878612716</v>
      </c>
      <c r="D98" s="122">
        <v>7192640</v>
      </c>
      <c r="E98" s="120">
        <v>16</v>
      </c>
      <c r="F98" s="33" t="s">
        <v>36</v>
      </c>
      <c r="G98" s="5">
        <v>1</v>
      </c>
      <c r="H98" s="5">
        <f t="shared" si="19"/>
        <v>7192640</v>
      </c>
    </row>
    <row r="99" spans="1:8" ht="15.75" customHeight="1" x14ac:dyDescent="0.2">
      <c r="A99" s="120">
        <v>1</v>
      </c>
      <c r="B99" s="120">
        <v>34.6</v>
      </c>
      <c r="C99" s="121">
        <f t="shared" si="18"/>
        <v>209878.61271676299</v>
      </c>
      <c r="D99" s="122">
        <v>7261800</v>
      </c>
      <c r="E99" s="120">
        <v>17</v>
      </c>
      <c r="F99" s="33" t="s">
        <v>36</v>
      </c>
      <c r="G99" s="5">
        <v>1</v>
      </c>
      <c r="H99" s="5">
        <f t="shared" si="19"/>
        <v>7261800</v>
      </c>
    </row>
    <row r="100" spans="1:8" ht="15.75" customHeight="1" x14ac:dyDescent="0.2">
      <c r="A100" s="120">
        <v>1</v>
      </c>
      <c r="B100" s="120">
        <v>34.700000000000003</v>
      </c>
      <c r="C100" s="121">
        <f t="shared" si="18"/>
        <v>198228.24207492793</v>
      </c>
      <c r="D100" s="122">
        <v>6878520</v>
      </c>
      <c r="E100" s="120">
        <v>9</v>
      </c>
      <c r="F100" s="33" t="s">
        <v>36</v>
      </c>
      <c r="G100" s="5">
        <v>1</v>
      </c>
      <c r="H100" s="5">
        <f t="shared" si="19"/>
        <v>6878520</v>
      </c>
    </row>
    <row r="101" spans="1:8" ht="15.75" customHeight="1" x14ac:dyDescent="0.2">
      <c r="A101" s="120">
        <v>1</v>
      </c>
      <c r="B101" s="120">
        <v>34.700000000000003</v>
      </c>
      <c r="C101" s="121">
        <f t="shared" si="18"/>
        <v>200230.54755043227</v>
      </c>
      <c r="D101" s="122">
        <v>6948000</v>
      </c>
      <c r="E101" s="120">
        <v>10</v>
      </c>
      <c r="F101" s="33" t="s">
        <v>36</v>
      </c>
      <c r="G101" s="5">
        <v>1</v>
      </c>
      <c r="H101" s="5">
        <f t="shared" si="19"/>
        <v>6948000</v>
      </c>
    </row>
    <row r="102" spans="1:8" ht="15.75" customHeight="1" x14ac:dyDescent="0.2">
      <c r="A102" s="120">
        <v>1</v>
      </c>
      <c r="B102" s="120">
        <v>34.700000000000003</v>
      </c>
      <c r="C102" s="121">
        <f t="shared" si="18"/>
        <v>200230.54755043227</v>
      </c>
      <c r="D102" s="122">
        <v>6948000</v>
      </c>
      <c r="E102" s="120">
        <v>8</v>
      </c>
      <c r="F102" s="33" t="s">
        <v>36</v>
      </c>
      <c r="G102" s="5">
        <v>1</v>
      </c>
      <c r="H102" s="5">
        <f t="shared" si="19"/>
        <v>6948000</v>
      </c>
    </row>
    <row r="103" spans="1:8" ht="15.75" customHeight="1" x14ac:dyDescent="0.2">
      <c r="A103" s="120">
        <v>1</v>
      </c>
      <c r="B103" s="120">
        <v>34.700000000000003</v>
      </c>
      <c r="C103" s="121">
        <f t="shared" si="18"/>
        <v>200230.54755043227</v>
      </c>
      <c r="D103" s="122">
        <v>6948000</v>
      </c>
      <c r="E103" s="120">
        <v>9</v>
      </c>
      <c r="F103" s="33" t="s">
        <v>36</v>
      </c>
      <c r="G103" s="5">
        <v>1</v>
      </c>
      <c r="H103" s="5">
        <f t="shared" si="19"/>
        <v>6948000</v>
      </c>
    </row>
    <row r="104" spans="1:8" ht="15.75" customHeight="1" x14ac:dyDescent="0.2">
      <c r="A104" s="120">
        <v>1</v>
      </c>
      <c r="B104" s="120">
        <v>34.9</v>
      </c>
      <c r="C104" s="121">
        <f t="shared" si="18"/>
        <v>197829.7994269341</v>
      </c>
      <c r="D104" s="122">
        <v>6904260</v>
      </c>
      <c r="E104" s="120">
        <v>4</v>
      </c>
      <c r="F104" s="33" t="s">
        <v>36</v>
      </c>
      <c r="G104" s="5">
        <v>1</v>
      </c>
      <c r="H104" s="5">
        <f t="shared" si="19"/>
        <v>6904260</v>
      </c>
    </row>
    <row r="105" spans="1:8" ht="15.75" customHeight="1" x14ac:dyDescent="0.2">
      <c r="A105" s="120">
        <v>1</v>
      </c>
      <c r="B105" s="120">
        <v>34.9</v>
      </c>
      <c r="C105" s="121">
        <f t="shared" si="18"/>
        <v>195831.51862464185</v>
      </c>
      <c r="D105" s="122">
        <v>6834520</v>
      </c>
      <c r="E105" s="120">
        <v>3</v>
      </c>
      <c r="F105" s="33" t="s">
        <v>36</v>
      </c>
      <c r="G105" s="5">
        <v>1</v>
      </c>
      <c r="H105" s="5">
        <f t="shared" si="19"/>
        <v>6834520</v>
      </c>
    </row>
    <row r="106" spans="1:8" ht="15.75" customHeight="1" x14ac:dyDescent="0.2">
      <c r="A106" s="120">
        <v>1</v>
      </c>
      <c r="B106" s="120">
        <v>34.9</v>
      </c>
      <c r="C106" s="121">
        <f t="shared" si="18"/>
        <v>195831.51862464185</v>
      </c>
      <c r="D106" s="122">
        <v>6834520</v>
      </c>
      <c r="E106" s="120">
        <v>5</v>
      </c>
      <c r="F106" s="33" t="s">
        <v>36</v>
      </c>
      <c r="G106" s="5">
        <v>1</v>
      </c>
      <c r="H106" s="5">
        <f t="shared" si="19"/>
        <v>6834520</v>
      </c>
    </row>
    <row r="107" spans="1:8" ht="15.75" customHeight="1" x14ac:dyDescent="0.2">
      <c r="A107" s="120">
        <v>1</v>
      </c>
      <c r="B107" s="120">
        <v>34.9</v>
      </c>
      <c r="C107" s="121">
        <f t="shared" si="18"/>
        <v>197829.7994269341</v>
      </c>
      <c r="D107" s="122">
        <v>6904260</v>
      </c>
      <c r="E107" s="120">
        <v>5</v>
      </c>
      <c r="F107" s="33" t="s">
        <v>36</v>
      </c>
      <c r="G107" s="5">
        <v>1</v>
      </c>
      <c r="H107" s="5">
        <f t="shared" si="19"/>
        <v>6904260</v>
      </c>
    </row>
    <row r="108" spans="1:8" ht="15.75" customHeight="1" x14ac:dyDescent="0.2">
      <c r="A108" s="120">
        <v>1</v>
      </c>
      <c r="B108" s="120">
        <v>34.9</v>
      </c>
      <c r="C108" s="121">
        <f t="shared" ref="C108" si="22">D108/B108</f>
        <v>197829.7994269341</v>
      </c>
      <c r="D108" s="122">
        <v>6904260</v>
      </c>
      <c r="E108" s="120">
        <v>7</v>
      </c>
      <c r="F108" s="33" t="s">
        <v>36</v>
      </c>
      <c r="G108" s="5">
        <v>1</v>
      </c>
      <c r="H108" s="5">
        <f t="shared" ref="H108" si="23">G108*D108</f>
        <v>6904260</v>
      </c>
    </row>
    <row r="109" spans="1:8" ht="15.75" customHeight="1" x14ac:dyDescent="0.2">
      <c r="A109" s="120">
        <v>1</v>
      </c>
      <c r="B109" s="120">
        <v>34.9</v>
      </c>
      <c r="C109" s="121">
        <f t="shared" si="18"/>
        <v>197829.7994269341</v>
      </c>
      <c r="D109" s="122">
        <v>6904260</v>
      </c>
      <c r="E109" s="120">
        <v>8</v>
      </c>
      <c r="F109" s="33" t="s">
        <v>36</v>
      </c>
      <c r="G109" s="5">
        <v>1</v>
      </c>
      <c r="H109" s="5">
        <f t="shared" si="19"/>
        <v>6904260</v>
      </c>
    </row>
    <row r="110" spans="1:8" ht="15.75" customHeight="1" x14ac:dyDescent="0.2">
      <c r="A110" s="120">
        <v>1</v>
      </c>
      <c r="B110" s="120">
        <v>34.9</v>
      </c>
      <c r="C110" s="121">
        <f t="shared" si="18"/>
        <v>199828.08022922638</v>
      </c>
      <c r="D110" s="122">
        <v>6974000</v>
      </c>
      <c r="E110" s="120">
        <v>6</v>
      </c>
      <c r="F110" s="33" t="s">
        <v>36</v>
      </c>
      <c r="G110" s="5">
        <v>1</v>
      </c>
      <c r="H110" s="5">
        <f t="shared" si="19"/>
        <v>6974000</v>
      </c>
    </row>
    <row r="111" spans="1:8" ht="15.75" customHeight="1" x14ac:dyDescent="0.2">
      <c r="A111" s="120">
        <v>1</v>
      </c>
      <c r="B111" s="120">
        <v>34.9</v>
      </c>
      <c r="C111" s="121">
        <f t="shared" si="18"/>
        <v>199828.08022922638</v>
      </c>
      <c r="D111" s="122">
        <v>6974000</v>
      </c>
      <c r="E111" s="120">
        <v>7</v>
      </c>
      <c r="F111" s="33" t="s">
        <v>36</v>
      </c>
      <c r="G111" s="5">
        <v>1</v>
      </c>
      <c r="H111" s="5">
        <f t="shared" si="19"/>
        <v>6974000</v>
      </c>
    </row>
    <row r="112" spans="1:8" ht="15.75" customHeight="1" x14ac:dyDescent="0.2">
      <c r="A112" s="120">
        <v>1</v>
      </c>
      <c r="B112" s="120">
        <v>34.9</v>
      </c>
      <c r="C112" s="121">
        <f t="shared" si="18"/>
        <v>193833.23782234959</v>
      </c>
      <c r="D112" s="122">
        <v>6764780</v>
      </c>
      <c r="E112" s="120">
        <v>4</v>
      </c>
      <c r="F112" s="33" t="s">
        <v>36</v>
      </c>
      <c r="G112" s="5">
        <v>1</v>
      </c>
      <c r="H112" s="5">
        <f t="shared" si="19"/>
        <v>6764780</v>
      </c>
    </row>
    <row r="113" spans="1:8" ht="15.75" customHeight="1" x14ac:dyDescent="0.2">
      <c r="A113" s="120">
        <v>1</v>
      </c>
      <c r="B113" s="120">
        <v>34.9</v>
      </c>
      <c r="C113" s="121">
        <f t="shared" si="18"/>
        <v>197829.7994269341</v>
      </c>
      <c r="D113" s="122">
        <v>6904260</v>
      </c>
      <c r="E113" s="120">
        <v>6</v>
      </c>
      <c r="F113" s="33" t="s">
        <v>36</v>
      </c>
      <c r="G113" s="5">
        <v>1</v>
      </c>
      <c r="H113" s="5">
        <f t="shared" si="19"/>
        <v>6904260</v>
      </c>
    </row>
    <row r="114" spans="1:8" ht="15.75" customHeight="1" x14ac:dyDescent="0.2">
      <c r="A114" s="120">
        <v>1</v>
      </c>
      <c r="B114" s="120">
        <v>34.9</v>
      </c>
      <c r="C114" s="121">
        <f t="shared" si="18"/>
        <v>194277.93696275071</v>
      </c>
      <c r="D114" s="122">
        <v>6780300</v>
      </c>
      <c r="E114" s="120">
        <v>3</v>
      </c>
      <c r="F114" s="33" t="s">
        <v>36</v>
      </c>
      <c r="G114" s="5">
        <v>1</v>
      </c>
      <c r="H114" s="5">
        <f t="shared" si="19"/>
        <v>6780300</v>
      </c>
    </row>
    <row r="115" spans="1:8" ht="15.75" customHeight="1" x14ac:dyDescent="0.2">
      <c r="A115" s="120">
        <v>1</v>
      </c>
      <c r="B115" s="120">
        <v>34.950000000000003</v>
      </c>
      <c r="C115" s="121">
        <f t="shared" si="18"/>
        <v>195999.99999999997</v>
      </c>
      <c r="D115" s="122">
        <v>6850200</v>
      </c>
      <c r="E115" s="120">
        <v>2</v>
      </c>
      <c r="F115" s="33" t="s">
        <v>36</v>
      </c>
      <c r="G115" s="5">
        <v>1</v>
      </c>
      <c r="H115" s="5">
        <f t="shared" si="19"/>
        <v>6850200</v>
      </c>
    </row>
    <row r="116" spans="1:8" ht="15.75" customHeight="1" x14ac:dyDescent="0.2">
      <c r="A116" s="120">
        <v>1</v>
      </c>
      <c r="B116" s="240">
        <v>35.369999999999997</v>
      </c>
      <c r="C116" s="121">
        <f t="shared" si="18"/>
        <v>192000</v>
      </c>
      <c r="D116" s="122">
        <v>6791040</v>
      </c>
      <c r="E116" s="120">
        <v>1</v>
      </c>
      <c r="F116" s="33" t="s">
        <v>36</v>
      </c>
      <c r="G116" s="5">
        <v>1</v>
      </c>
      <c r="H116" s="5">
        <f t="shared" si="19"/>
        <v>6791040</v>
      </c>
    </row>
    <row r="117" spans="1:8" ht="15.75" customHeight="1" x14ac:dyDescent="0.2">
      <c r="A117" s="120">
        <v>1</v>
      </c>
      <c r="B117" s="120">
        <v>35.4</v>
      </c>
      <c r="C117" s="121">
        <f t="shared" si="18"/>
        <v>193835.59322033898</v>
      </c>
      <c r="D117" s="122">
        <v>6861780</v>
      </c>
      <c r="E117" s="120">
        <v>2</v>
      </c>
      <c r="F117" s="33" t="s">
        <v>36</v>
      </c>
      <c r="G117" s="5">
        <v>1</v>
      </c>
      <c r="H117" s="5">
        <f t="shared" si="19"/>
        <v>6861780</v>
      </c>
    </row>
    <row r="118" spans="1:8" ht="15.75" customHeight="1" x14ac:dyDescent="0.2">
      <c r="A118" s="120">
        <v>1</v>
      </c>
      <c r="B118" s="120">
        <v>35.700000000000003</v>
      </c>
      <c r="C118" s="121">
        <f t="shared" si="18"/>
        <v>189999.99999999997</v>
      </c>
      <c r="D118" s="122">
        <v>6783000</v>
      </c>
      <c r="E118" s="120">
        <v>13</v>
      </c>
      <c r="F118" s="33" t="s">
        <v>36</v>
      </c>
      <c r="G118" s="5">
        <v>1</v>
      </c>
      <c r="H118" s="5">
        <f t="shared" si="19"/>
        <v>6783000</v>
      </c>
    </row>
    <row r="119" spans="1:8" ht="15.75" customHeight="1" x14ac:dyDescent="0.2">
      <c r="A119" s="120">
        <v>1</v>
      </c>
      <c r="B119" s="120">
        <v>35.700000000000003</v>
      </c>
      <c r="C119" s="121">
        <f t="shared" si="18"/>
        <v>192999.99999999997</v>
      </c>
      <c r="D119" s="122">
        <v>6890100</v>
      </c>
      <c r="E119" s="120">
        <v>14</v>
      </c>
      <c r="F119" s="33" t="s">
        <v>36</v>
      </c>
      <c r="G119" s="5">
        <v>1</v>
      </c>
      <c r="H119" s="5">
        <f t="shared" si="19"/>
        <v>6890100</v>
      </c>
    </row>
    <row r="120" spans="1:8" ht="15.75" customHeight="1" x14ac:dyDescent="0.2">
      <c r="A120" s="120">
        <v>1</v>
      </c>
      <c r="B120" s="120">
        <v>35.700000000000003</v>
      </c>
      <c r="C120" s="121">
        <f t="shared" si="18"/>
        <v>192999.99999999997</v>
      </c>
      <c r="D120" s="122">
        <v>6890100</v>
      </c>
      <c r="E120" s="120">
        <v>16</v>
      </c>
      <c r="F120" s="33" t="s">
        <v>36</v>
      </c>
      <c r="G120" s="5">
        <v>1</v>
      </c>
      <c r="H120" s="5">
        <f t="shared" si="19"/>
        <v>6890100</v>
      </c>
    </row>
    <row r="121" spans="1:8" ht="15.75" customHeight="1" x14ac:dyDescent="0.2">
      <c r="A121" s="120">
        <v>1</v>
      </c>
      <c r="B121" s="120">
        <v>35.700000000000003</v>
      </c>
      <c r="C121" s="121">
        <f t="shared" si="18"/>
        <v>192999.99999999997</v>
      </c>
      <c r="D121" s="122">
        <v>6890100</v>
      </c>
      <c r="E121" s="120">
        <v>17</v>
      </c>
      <c r="F121" s="33" t="s">
        <v>36</v>
      </c>
      <c r="G121" s="5">
        <v>1</v>
      </c>
      <c r="H121" s="5">
        <f t="shared" si="19"/>
        <v>6890100</v>
      </c>
    </row>
    <row r="122" spans="1:8" ht="15.75" customHeight="1" x14ac:dyDescent="0.2">
      <c r="A122" s="120">
        <v>1</v>
      </c>
      <c r="B122" s="120">
        <v>35.700000000000003</v>
      </c>
      <c r="C122" s="121">
        <f t="shared" si="18"/>
        <v>192999.99999999997</v>
      </c>
      <c r="D122" s="122">
        <v>6890100</v>
      </c>
      <c r="E122" s="120">
        <v>14</v>
      </c>
      <c r="F122" s="33" t="s">
        <v>36</v>
      </c>
      <c r="G122" s="5">
        <v>1</v>
      </c>
      <c r="H122" s="5">
        <f t="shared" si="19"/>
        <v>6890100</v>
      </c>
    </row>
    <row r="123" spans="1:8" ht="15.75" customHeight="1" x14ac:dyDescent="0.2">
      <c r="A123" s="120">
        <v>1</v>
      </c>
      <c r="B123" s="120">
        <v>35.700000000000003</v>
      </c>
      <c r="C123" s="121">
        <f t="shared" si="18"/>
        <v>192999.99999999997</v>
      </c>
      <c r="D123" s="122">
        <v>6890100</v>
      </c>
      <c r="E123" s="120">
        <v>14</v>
      </c>
      <c r="F123" s="33" t="s">
        <v>36</v>
      </c>
      <c r="G123" s="5">
        <v>1</v>
      </c>
      <c r="H123" s="5">
        <f t="shared" si="19"/>
        <v>6890100</v>
      </c>
    </row>
    <row r="124" spans="1:8" ht="15.75" customHeight="1" x14ac:dyDescent="0.2">
      <c r="A124" s="120">
        <v>1</v>
      </c>
      <c r="B124" s="120">
        <v>35.700000000000003</v>
      </c>
      <c r="C124" s="121">
        <f t="shared" si="18"/>
        <v>192999.99999999997</v>
      </c>
      <c r="D124" s="122">
        <v>6890100</v>
      </c>
      <c r="E124" s="120">
        <v>16</v>
      </c>
      <c r="F124" s="33" t="s">
        <v>36</v>
      </c>
      <c r="G124" s="5">
        <v>1</v>
      </c>
      <c r="H124" s="5">
        <f t="shared" si="19"/>
        <v>6890100</v>
      </c>
    </row>
    <row r="125" spans="1:8" ht="15.75" customHeight="1" x14ac:dyDescent="0.2">
      <c r="A125" s="120">
        <v>1</v>
      </c>
      <c r="B125" s="120">
        <v>35.700000000000003</v>
      </c>
      <c r="C125" s="121">
        <f t="shared" si="18"/>
        <v>192999.99999999997</v>
      </c>
      <c r="D125" s="122">
        <v>6890100</v>
      </c>
      <c r="E125" s="120">
        <v>15</v>
      </c>
      <c r="F125" s="33" t="s">
        <v>36</v>
      </c>
      <c r="G125" s="5">
        <v>1</v>
      </c>
      <c r="H125" s="5">
        <f t="shared" si="19"/>
        <v>6890100</v>
      </c>
    </row>
    <row r="126" spans="1:8" ht="15.75" customHeight="1" x14ac:dyDescent="0.2">
      <c r="A126" s="120">
        <v>1</v>
      </c>
      <c r="B126" s="120">
        <v>35.700000000000003</v>
      </c>
      <c r="C126" s="121">
        <f t="shared" si="18"/>
        <v>192999.99999999997</v>
      </c>
      <c r="D126" s="122">
        <v>6890100</v>
      </c>
      <c r="E126" s="120">
        <v>17</v>
      </c>
      <c r="F126" s="33" t="s">
        <v>36</v>
      </c>
      <c r="G126" s="5">
        <v>1</v>
      </c>
      <c r="H126" s="5">
        <f t="shared" si="19"/>
        <v>6890100</v>
      </c>
    </row>
    <row r="127" spans="1:8" ht="15.75" customHeight="1" x14ac:dyDescent="0.2">
      <c r="A127" s="120">
        <v>1</v>
      </c>
      <c r="B127" s="120">
        <v>35.799999999999997</v>
      </c>
      <c r="C127" s="121">
        <f t="shared" si="18"/>
        <v>189946.92737430168</v>
      </c>
      <c r="D127" s="122">
        <v>6800100</v>
      </c>
      <c r="E127" s="120">
        <v>11</v>
      </c>
      <c r="F127" s="33" t="s">
        <v>36</v>
      </c>
      <c r="G127" s="5">
        <v>1</v>
      </c>
      <c r="H127" s="5">
        <f t="shared" si="19"/>
        <v>6800100</v>
      </c>
    </row>
    <row r="128" spans="1:8" ht="15.75" customHeight="1" x14ac:dyDescent="0.2">
      <c r="A128" s="120">
        <v>1</v>
      </c>
      <c r="B128" s="120">
        <v>35.799999999999997</v>
      </c>
      <c r="C128" s="121">
        <f t="shared" si="18"/>
        <v>189946.92737430168</v>
      </c>
      <c r="D128" s="122">
        <v>6800100</v>
      </c>
      <c r="E128" s="120">
        <v>10</v>
      </c>
      <c r="F128" s="33" t="s">
        <v>36</v>
      </c>
      <c r="G128" s="5">
        <v>1</v>
      </c>
      <c r="H128" s="5">
        <f t="shared" si="19"/>
        <v>6800100</v>
      </c>
    </row>
    <row r="129" spans="1:8" ht="15.75" customHeight="1" x14ac:dyDescent="0.2">
      <c r="A129" s="120">
        <v>1</v>
      </c>
      <c r="B129" s="120">
        <v>35.799999999999997</v>
      </c>
      <c r="C129" s="121">
        <f t="shared" si="18"/>
        <v>189946.92737430168</v>
      </c>
      <c r="D129" s="122">
        <v>6800100</v>
      </c>
      <c r="E129" s="120">
        <v>12</v>
      </c>
      <c r="F129" s="33" t="s">
        <v>36</v>
      </c>
      <c r="G129" s="5">
        <v>1</v>
      </c>
      <c r="H129" s="5">
        <f t="shared" si="19"/>
        <v>6800100</v>
      </c>
    </row>
    <row r="130" spans="1:8" ht="15.75" customHeight="1" x14ac:dyDescent="0.2">
      <c r="A130" s="120">
        <v>1</v>
      </c>
      <c r="B130" s="120">
        <v>35.799999999999997</v>
      </c>
      <c r="C130" s="121">
        <f t="shared" ref="C130" si="24">D130/B130</f>
        <v>189946.92737430168</v>
      </c>
      <c r="D130" s="122">
        <v>6800100</v>
      </c>
      <c r="E130" s="120">
        <v>11</v>
      </c>
      <c r="F130" s="33" t="s">
        <v>36</v>
      </c>
      <c r="G130" s="5">
        <v>1</v>
      </c>
      <c r="H130" s="5">
        <f t="shared" ref="H130" si="25">G130*D130</f>
        <v>6800100</v>
      </c>
    </row>
    <row r="131" spans="1:8" ht="15.75" customHeight="1" x14ac:dyDescent="0.2">
      <c r="A131" s="120">
        <v>1</v>
      </c>
      <c r="B131" s="120">
        <v>35.799999999999997</v>
      </c>
      <c r="C131" s="121">
        <f t="shared" si="18"/>
        <v>189946.92737430168</v>
      </c>
      <c r="D131" s="122">
        <v>6800100</v>
      </c>
      <c r="E131" s="120">
        <v>12</v>
      </c>
      <c r="F131" s="33" t="s">
        <v>36</v>
      </c>
      <c r="G131" s="5">
        <v>1</v>
      </c>
      <c r="H131" s="5">
        <f t="shared" si="19"/>
        <v>6800100</v>
      </c>
    </row>
    <row r="132" spans="1:8" ht="15.75" customHeight="1" x14ac:dyDescent="0.2">
      <c r="A132" s="120">
        <v>1</v>
      </c>
      <c r="B132" s="120">
        <v>35.799999999999997</v>
      </c>
      <c r="C132" s="121">
        <f t="shared" si="18"/>
        <v>189946.92737430168</v>
      </c>
      <c r="D132" s="122">
        <v>6800100</v>
      </c>
      <c r="E132" s="120">
        <v>13</v>
      </c>
      <c r="F132" s="33" t="s">
        <v>36</v>
      </c>
      <c r="G132" s="5">
        <v>1</v>
      </c>
      <c r="H132" s="5">
        <f t="shared" si="19"/>
        <v>6800100</v>
      </c>
    </row>
    <row r="133" spans="1:8" ht="15.75" customHeight="1" x14ac:dyDescent="0.2">
      <c r="A133" s="120">
        <v>1</v>
      </c>
      <c r="B133" s="120">
        <v>35.9</v>
      </c>
      <c r="C133" s="121">
        <f t="shared" si="18"/>
        <v>184896.93593314764</v>
      </c>
      <c r="D133" s="122">
        <v>6637800</v>
      </c>
      <c r="E133" s="120">
        <v>9</v>
      </c>
      <c r="F133" s="33" t="s">
        <v>36</v>
      </c>
      <c r="G133" s="5">
        <v>1</v>
      </c>
      <c r="H133" s="5">
        <f t="shared" si="19"/>
        <v>6637800</v>
      </c>
    </row>
    <row r="134" spans="1:8" ht="15.75" customHeight="1" x14ac:dyDescent="0.2">
      <c r="A134" s="120">
        <v>1</v>
      </c>
      <c r="B134" s="120">
        <v>35.9</v>
      </c>
      <c r="C134" s="121">
        <f t="shared" si="18"/>
        <v>184896.93593314764</v>
      </c>
      <c r="D134" s="122">
        <v>6637800</v>
      </c>
      <c r="E134" s="120">
        <v>9</v>
      </c>
      <c r="F134" s="33" t="s">
        <v>36</v>
      </c>
      <c r="G134" s="5">
        <v>1</v>
      </c>
      <c r="H134" s="5">
        <f t="shared" si="19"/>
        <v>6637800</v>
      </c>
    </row>
    <row r="135" spans="1:8" ht="15.75" customHeight="1" x14ac:dyDescent="0.2">
      <c r="A135" s="120">
        <v>1</v>
      </c>
      <c r="B135" s="120">
        <v>35.9</v>
      </c>
      <c r="C135" s="121">
        <f t="shared" si="18"/>
        <v>184896.93593314764</v>
      </c>
      <c r="D135" s="122">
        <v>6637800</v>
      </c>
      <c r="E135" s="120">
        <v>8</v>
      </c>
      <c r="F135" s="33" t="s">
        <v>36</v>
      </c>
      <c r="G135" s="5">
        <v>1</v>
      </c>
      <c r="H135" s="5">
        <f t="shared" si="19"/>
        <v>6637800</v>
      </c>
    </row>
    <row r="136" spans="1:8" ht="15.75" customHeight="1" x14ac:dyDescent="0.2">
      <c r="A136" s="120">
        <v>1</v>
      </c>
      <c r="B136" s="120">
        <v>35.9</v>
      </c>
      <c r="C136" s="121">
        <f t="shared" si="18"/>
        <v>189894.1504178273</v>
      </c>
      <c r="D136" s="122">
        <v>6817200</v>
      </c>
      <c r="E136" s="120">
        <v>10</v>
      </c>
      <c r="F136" s="33" t="s">
        <v>36</v>
      </c>
      <c r="G136" s="5">
        <v>1</v>
      </c>
      <c r="H136" s="5">
        <f t="shared" si="19"/>
        <v>6817200</v>
      </c>
    </row>
    <row r="137" spans="1:8" ht="15.75" customHeight="1" x14ac:dyDescent="0.2">
      <c r="A137" s="120">
        <v>1</v>
      </c>
      <c r="B137" s="120">
        <v>36</v>
      </c>
      <c r="C137" s="121">
        <f t="shared" si="18"/>
        <v>180200</v>
      </c>
      <c r="D137" s="122">
        <v>6487200</v>
      </c>
      <c r="E137" s="120">
        <v>5</v>
      </c>
      <c r="F137" s="33" t="s">
        <v>36</v>
      </c>
      <c r="G137" s="5">
        <v>1</v>
      </c>
      <c r="H137" s="5">
        <f t="shared" si="19"/>
        <v>6487200</v>
      </c>
    </row>
    <row r="138" spans="1:8" ht="15.75" customHeight="1" x14ac:dyDescent="0.2">
      <c r="A138" s="120">
        <v>1</v>
      </c>
      <c r="B138" s="120">
        <v>36</v>
      </c>
      <c r="C138" s="121">
        <f t="shared" si="18"/>
        <v>180200</v>
      </c>
      <c r="D138" s="122">
        <v>6487200</v>
      </c>
      <c r="E138" s="120">
        <v>4</v>
      </c>
      <c r="F138" s="33" t="s">
        <v>36</v>
      </c>
      <c r="G138" s="5">
        <v>1</v>
      </c>
      <c r="H138" s="5">
        <f t="shared" si="19"/>
        <v>6487200</v>
      </c>
    </row>
    <row r="139" spans="1:8" ht="15.75" customHeight="1" x14ac:dyDescent="0.2">
      <c r="A139" s="120">
        <v>1</v>
      </c>
      <c r="B139" s="120">
        <v>36</v>
      </c>
      <c r="C139" s="121">
        <f t="shared" ref="C139" si="26">D139/B139</f>
        <v>180200</v>
      </c>
      <c r="D139" s="122">
        <v>6487200</v>
      </c>
      <c r="E139" s="120">
        <v>4</v>
      </c>
      <c r="F139" s="33" t="s">
        <v>36</v>
      </c>
      <c r="G139" s="5">
        <v>1</v>
      </c>
      <c r="H139" s="5">
        <f t="shared" ref="H139" si="27">G139*D139</f>
        <v>6487200</v>
      </c>
    </row>
    <row r="140" spans="1:8" ht="15.75" customHeight="1" x14ac:dyDescent="0.2">
      <c r="A140" s="120">
        <v>1</v>
      </c>
      <c r="B140" s="120">
        <v>36</v>
      </c>
      <c r="C140" s="121">
        <f t="shared" si="18"/>
        <v>180200</v>
      </c>
      <c r="D140" s="122">
        <v>6487200</v>
      </c>
      <c r="E140" s="120">
        <v>3</v>
      </c>
      <c r="F140" s="33" t="s">
        <v>36</v>
      </c>
      <c r="G140" s="5">
        <v>1</v>
      </c>
      <c r="H140" s="5">
        <f t="shared" si="19"/>
        <v>6487200</v>
      </c>
    </row>
    <row r="141" spans="1:8" ht="15.75" customHeight="1" x14ac:dyDescent="0.2">
      <c r="A141" s="120">
        <v>1</v>
      </c>
      <c r="B141" s="120">
        <v>36</v>
      </c>
      <c r="C141" s="121">
        <f t="shared" ref="C141" si="28">D141/B141</f>
        <v>185205.55555555556</v>
      </c>
      <c r="D141" s="122">
        <v>6667400</v>
      </c>
      <c r="E141" s="120">
        <v>5</v>
      </c>
      <c r="F141" s="33" t="s">
        <v>36</v>
      </c>
      <c r="G141" s="5">
        <v>1</v>
      </c>
      <c r="H141" s="5">
        <f t="shared" ref="H141" si="29">G141*D141</f>
        <v>6667400</v>
      </c>
    </row>
    <row r="142" spans="1:8" ht="15.75" customHeight="1" x14ac:dyDescent="0.2">
      <c r="A142" s="120">
        <v>1</v>
      </c>
      <c r="B142" s="120">
        <v>36</v>
      </c>
      <c r="C142" s="121">
        <f t="shared" si="18"/>
        <v>185205.55555555556</v>
      </c>
      <c r="D142" s="122">
        <v>6667400</v>
      </c>
      <c r="E142" s="120">
        <v>8</v>
      </c>
      <c r="F142" s="33" t="s">
        <v>36</v>
      </c>
      <c r="G142" s="5">
        <v>1</v>
      </c>
      <c r="H142" s="5">
        <f t="shared" si="19"/>
        <v>6667400</v>
      </c>
    </row>
    <row r="143" spans="1:8" ht="15.75" customHeight="1" x14ac:dyDescent="0.2">
      <c r="A143" s="120">
        <v>1</v>
      </c>
      <c r="B143" s="120">
        <v>36</v>
      </c>
      <c r="C143" s="121">
        <f t="shared" si="18"/>
        <v>185205.55555555556</v>
      </c>
      <c r="D143" s="122">
        <v>6667400</v>
      </c>
      <c r="E143" s="120">
        <v>6</v>
      </c>
      <c r="F143" s="33" t="s">
        <v>36</v>
      </c>
      <c r="G143" s="5">
        <v>1</v>
      </c>
      <c r="H143" s="5">
        <f t="shared" si="19"/>
        <v>6667400</v>
      </c>
    </row>
    <row r="144" spans="1:8" ht="15.75" customHeight="1" x14ac:dyDescent="0.2">
      <c r="A144" s="120">
        <v>1</v>
      </c>
      <c r="B144" s="120">
        <v>36</v>
      </c>
      <c r="C144" s="121">
        <f t="shared" si="18"/>
        <v>185205.55555555556</v>
      </c>
      <c r="D144" s="122">
        <v>6667400</v>
      </c>
      <c r="E144" s="120">
        <v>6</v>
      </c>
      <c r="F144" s="33" t="s">
        <v>36</v>
      </c>
      <c r="G144" s="5">
        <v>1</v>
      </c>
      <c r="H144" s="5">
        <f t="shared" si="19"/>
        <v>6667400</v>
      </c>
    </row>
    <row r="145" spans="1:8" ht="15.75" customHeight="1" x14ac:dyDescent="0.2">
      <c r="A145" s="120">
        <v>1</v>
      </c>
      <c r="B145" s="120">
        <v>36</v>
      </c>
      <c r="C145" s="121">
        <f t="shared" si="18"/>
        <v>185205.55555555556</v>
      </c>
      <c r="D145" s="122">
        <v>6667400</v>
      </c>
      <c r="E145" s="120">
        <v>7</v>
      </c>
      <c r="F145" s="33" t="s">
        <v>36</v>
      </c>
      <c r="G145" s="5">
        <v>1</v>
      </c>
      <c r="H145" s="5">
        <f t="shared" si="19"/>
        <v>6667400</v>
      </c>
    </row>
    <row r="146" spans="1:8" ht="15.75" customHeight="1" x14ac:dyDescent="0.2">
      <c r="A146" s="120">
        <v>1</v>
      </c>
      <c r="B146" s="120">
        <v>36</v>
      </c>
      <c r="C146" s="121">
        <f t="shared" si="18"/>
        <v>185205.55555555556</v>
      </c>
      <c r="D146" s="122">
        <v>6667400</v>
      </c>
      <c r="E146" s="120">
        <v>7</v>
      </c>
      <c r="F146" s="33" t="s">
        <v>36</v>
      </c>
      <c r="G146" s="5">
        <v>1</v>
      </c>
      <c r="H146" s="5">
        <f t="shared" si="19"/>
        <v>6667400</v>
      </c>
    </row>
    <row r="147" spans="1:8" ht="15.75" customHeight="1" x14ac:dyDescent="0.2">
      <c r="A147" s="120">
        <v>1</v>
      </c>
      <c r="B147" s="120">
        <v>36.200000000000003</v>
      </c>
      <c r="C147" s="121">
        <f t="shared" si="18"/>
        <v>178000</v>
      </c>
      <c r="D147" s="122">
        <v>6443600</v>
      </c>
      <c r="E147" s="120">
        <v>3</v>
      </c>
      <c r="F147" s="33" t="s">
        <v>36</v>
      </c>
      <c r="G147" s="5">
        <v>1</v>
      </c>
      <c r="H147" s="5">
        <f t="shared" si="19"/>
        <v>6443600</v>
      </c>
    </row>
    <row r="148" spans="1:8" ht="15.75" customHeight="1" x14ac:dyDescent="0.2">
      <c r="A148" s="120">
        <v>1</v>
      </c>
      <c r="B148" s="120">
        <v>36.200000000000003</v>
      </c>
      <c r="C148" s="121">
        <f t="shared" si="18"/>
        <v>178000</v>
      </c>
      <c r="D148" s="122">
        <v>6443600</v>
      </c>
      <c r="E148" s="120">
        <v>2</v>
      </c>
      <c r="F148" s="33" t="s">
        <v>36</v>
      </c>
      <c r="G148" s="5">
        <v>1</v>
      </c>
      <c r="H148" s="5">
        <f t="shared" si="19"/>
        <v>6443600</v>
      </c>
    </row>
    <row r="149" spans="1:8" ht="15.75" customHeight="1" x14ac:dyDescent="0.2">
      <c r="A149" s="120">
        <v>1</v>
      </c>
      <c r="B149" s="120">
        <v>36.200000000000003</v>
      </c>
      <c r="C149" s="121">
        <f t="shared" si="18"/>
        <v>202055.80110497237</v>
      </c>
      <c r="D149" s="122">
        <v>7314420</v>
      </c>
      <c r="E149" s="120">
        <v>14</v>
      </c>
      <c r="F149" s="33" t="s">
        <v>36</v>
      </c>
      <c r="G149" s="5">
        <v>1</v>
      </c>
      <c r="H149" s="5">
        <f t="shared" si="19"/>
        <v>7314420</v>
      </c>
    </row>
    <row r="150" spans="1:8" ht="15.75" customHeight="1" x14ac:dyDescent="0.2">
      <c r="A150" s="120">
        <v>1</v>
      </c>
      <c r="B150" s="120">
        <v>36.200000000000003</v>
      </c>
      <c r="C150" s="121">
        <f t="shared" si="18"/>
        <v>203056.07734806629</v>
      </c>
      <c r="D150" s="122">
        <v>7350630</v>
      </c>
      <c r="E150" s="120">
        <v>17</v>
      </c>
      <c r="F150" s="33" t="s">
        <v>36</v>
      </c>
      <c r="G150" s="5">
        <v>1</v>
      </c>
      <c r="H150" s="5">
        <f t="shared" si="19"/>
        <v>7350630</v>
      </c>
    </row>
    <row r="151" spans="1:8" ht="15.75" customHeight="1" x14ac:dyDescent="0.2">
      <c r="A151" s="120">
        <v>1</v>
      </c>
      <c r="B151" s="120">
        <v>36.200000000000003</v>
      </c>
      <c r="C151" s="121">
        <f t="shared" si="18"/>
        <v>203056.07734806629</v>
      </c>
      <c r="D151" s="122">
        <v>7350630</v>
      </c>
      <c r="E151" s="120">
        <v>16</v>
      </c>
      <c r="F151" s="33" t="s">
        <v>36</v>
      </c>
      <c r="G151" s="5">
        <v>1</v>
      </c>
      <c r="H151" s="5">
        <f t="shared" si="19"/>
        <v>7350630</v>
      </c>
    </row>
    <row r="152" spans="1:8" ht="15.75" customHeight="1" x14ac:dyDescent="0.2">
      <c r="A152" s="120">
        <v>1</v>
      </c>
      <c r="B152" s="120">
        <v>36.200000000000003</v>
      </c>
      <c r="C152" s="121">
        <f t="shared" si="18"/>
        <v>203056.07734806629</v>
      </c>
      <c r="D152" s="122">
        <v>7350630</v>
      </c>
      <c r="E152" s="120">
        <v>15</v>
      </c>
      <c r="F152" s="33" t="s">
        <v>36</v>
      </c>
      <c r="G152" s="5">
        <v>1</v>
      </c>
      <c r="H152" s="5">
        <f t="shared" si="19"/>
        <v>7350630</v>
      </c>
    </row>
    <row r="153" spans="1:8" ht="15.75" customHeight="1" x14ac:dyDescent="0.2">
      <c r="A153" s="120">
        <v>1</v>
      </c>
      <c r="B153" s="120">
        <v>36.299999999999997</v>
      </c>
      <c r="C153" s="121">
        <f t="shared" si="18"/>
        <v>201777.41046831958</v>
      </c>
      <c r="D153" s="122">
        <v>7324520</v>
      </c>
      <c r="E153" s="120">
        <v>11</v>
      </c>
      <c r="F153" s="33" t="s">
        <v>36</v>
      </c>
      <c r="G153" s="5">
        <v>1</v>
      </c>
      <c r="H153" s="5">
        <f t="shared" si="19"/>
        <v>7324520</v>
      </c>
    </row>
    <row r="154" spans="1:8" ht="15.75" customHeight="1" x14ac:dyDescent="0.2">
      <c r="A154" s="120">
        <v>1</v>
      </c>
      <c r="B154" s="120">
        <v>36.299999999999997</v>
      </c>
      <c r="C154" s="121">
        <f t="shared" si="18"/>
        <v>201777.41046831958</v>
      </c>
      <c r="D154" s="122">
        <v>7324520</v>
      </c>
      <c r="E154" s="120">
        <v>12</v>
      </c>
      <c r="F154" s="33" t="s">
        <v>36</v>
      </c>
      <c r="G154" s="5">
        <v>1</v>
      </c>
      <c r="H154" s="5">
        <f t="shared" si="19"/>
        <v>7324520</v>
      </c>
    </row>
    <row r="155" spans="1:8" ht="15.75" customHeight="1" x14ac:dyDescent="0.2">
      <c r="A155" s="120">
        <v>1</v>
      </c>
      <c r="B155" s="120">
        <v>36.299999999999997</v>
      </c>
      <c r="C155" s="121">
        <f t="shared" ref="C155:C229" si="30">D155/B155</f>
        <v>201777.41046831958</v>
      </c>
      <c r="D155" s="122">
        <v>7324520</v>
      </c>
      <c r="E155" s="120">
        <v>13</v>
      </c>
      <c r="F155" s="33" t="s">
        <v>36</v>
      </c>
      <c r="G155" s="5">
        <v>1</v>
      </c>
      <c r="H155" s="5">
        <f t="shared" ref="H155:H229" si="31">G155*D155</f>
        <v>7324520</v>
      </c>
    </row>
    <row r="156" spans="1:8" ht="15.75" customHeight="1" x14ac:dyDescent="0.2">
      <c r="A156" s="120">
        <v>1</v>
      </c>
      <c r="B156" s="120">
        <v>36.4</v>
      </c>
      <c r="C156" s="121">
        <f t="shared" si="30"/>
        <v>199780.21978021978</v>
      </c>
      <c r="D156" s="122">
        <v>7272000</v>
      </c>
      <c r="E156" s="120">
        <v>9</v>
      </c>
      <c r="F156" s="33" t="s">
        <v>36</v>
      </c>
      <c r="G156" s="5">
        <v>1</v>
      </c>
      <c r="H156" s="5">
        <f t="shared" si="31"/>
        <v>7272000</v>
      </c>
    </row>
    <row r="157" spans="1:8" ht="15.75" customHeight="1" x14ac:dyDescent="0.2">
      <c r="A157" s="120">
        <v>1</v>
      </c>
      <c r="B157" s="120">
        <v>36.4</v>
      </c>
      <c r="C157" s="121">
        <f t="shared" si="30"/>
        <v>199835.16483516485</v>
      </c>
      <c r="D157" s="122">
        <v>7274000</v>
      </c>
      <c r="E157" s="120">
        <v>14</v>
      </c>
      <c r="F157" s="33" t="s">
        <v>36</v>
      </c>
      <c r="G157" s="5">
        <v>1</v>
      </c>
      <c r="H157" s="5">
        <f t="shared" si="31"/>
        <v>7274000</v>
      </c>
    </row>
    <row r="158" spans="1:8" ht="15.75" customHeight="1" x14ac:dyDescent="0.2">
      <c r="A158" s="120">
        <v>1</v>
      </c>
      <c r="B158" s="120">
        <v>36.4</v>
      </c>
      <c r="C158" s="121">
        <f t="shared" si="30"/>
        <v>200109.89010989011</v>
      </c>
      <c r="D158" s="122">
        <v>7284000</v>
      </c>
      <c r="E158" s="120">
        <v>12</v>
      </c>
      <c r="F158" s="33" t="s">
        <v>36</v>
      </c>
      <c r="G158" s="5">
        <v>1</v>
      </c>
      <c r="H158" s="5">
        <f t="shared" si="31"/>
        <v>7284000</v>
      </c>
    </row>
    <row r="159" spans="1:8" ht="15.75" customHeight="1" x14ac:dyDescent="0.2">
      <c r="A159" s="120">
        <v>1</v>
      </c>
      <c r="B159" s="120">
        <v>36.4</v>
      </c>
      <c r="C159" s="121">
        <f t="shared" si="30"/>
        <v>200109.89010989011</v>
      </c>
      <c r="D159" s="122">
        <v>7284000</v>
      </c>
      <c r="E159" s="120">
        <v>10</v>
      </c>
      <c r="F159" s="33" t="s">
        <v>36</v>
      </c>
      <c r="G159" s="5">
        <v>1</v>
      </c>
      <c r="H159" s="5">
        <f t="shared" si="31"/>
        <v>7284000</v>
      </c>
    </row>
    <row r="160" spans="1:8" ht="15.75" customHeight="1" x14ac:dyDescent="0.2">
      <c r="A160" s="120">
        <v>1</v>
      </c>
      <c r="B160" s="120">
        <v>36.4</v>
      </c>
      <c r="C160" s="121">
        <f t="shared" si="30"/>
        <v>200109.89010989011</v>
      </c>
      <c r="D160" s="122">
        <v>7284000</v>
      </c>
      <c r="E160" s="120">
        <v>11</v>
      </c>
      <c r="F160" s="33" t="s">
        <v>36</v>
      </c>
      <c r="G160" s="5">
        <v>1</v>
      </c>
      <c r="H160" s="5">
        <f t="shared" si="31"/>
        <v>7284000</v>
      </c>
    </row>
    <row r="161" spans="1:8" ht="15.75" customHeight="1" x14ac:dyDescent="0.2">
      <c r="A161" s="120">
        <v>1</v>
      </c>
      <c r="B161" s="120">
        <v>36.4</v>
      </c>
      <c r="C161" s="121">
        <f t="shared" si="30"/>
        <v>200109.89010989011</v>
      </c>
      <c r="D161" s="122">
        <v>7284000</v>
      </c>
      <c r="E161" s="120">
        <v>13</v>
      </c>
      <c r="F161" s="33" t="s">
        <v>36</v>
      </c>
      <c r="G161" s="5">
        <v>1</v>
      </c>
      <c r="H161" s="5">
        <f t="shared" si="31"/>
        <v>7284000</v>
      </c>
    </row>
    <row r="162" spans="1:8" ht="15.75" customHeight="1" x14ac:dyDescent="0.2">
      <c r="A162" s="120">
        <v>1</v>
      </c>
      <c r="B162" s="120">
        <v>36.4</v>
      </c>
      <c r="C162" s="121">
        <f t="shared" si="30"/>
        <v>201778.02197802198</v>
      </c>
      <c r="D162" s="122">
        <v>7344720</v>
      </c>
      <c r="E162" s="120">
        <v>10</v>
      </c>
      <c r="F162" s="33" t="s">
        <v>36</v>
      </c>
      <c r="G162" s="5">
        <v>1</v>
      </c>
      <c r="H162" s="5">
        <f t="shared" si="31"/>
        <v>7344720</v>
      </c>
    </row>
    <row r="163" spans="1:8" ht="15.75" customHeight="1" x14ac:dyDescent="0.2">
      <c r="A163" s="120">
        <v>1</v>
      </c>
      <c r="B163" s="120">
        <v>36.4</v>
      </c>
      <c r="C163" s="121">
        <f t="shared" si="30"/>
        <v>202832.69230769231</v>
      </c>
      <c r="D163" s="122">
        <v>7383110</v>
      </c>
      <c r="E163" s="120">
        <v>15</v>
      </c>
      <c r="F163" s="33" t="s">
        <v>36</v>
      </c>
      <c r="G163" s="5">
        <v>1</v>
      </c>
      <c r="H163" s="5">
        <f t="shared" si="31"/>
        <v>7383110</v>
      </c>
    </row>
    <row r="164" spans="1:8" ht="15.75" customHeight="1" x14ac:dyDescent="0.2">
      <c r="A164" s="120">
        <v>1</v>
      </c>
      <c r="B164" s="120">
        <v>36.4</v>
      </c>
      <c r="C164" s="121">
        <f t="shared" si="30"/>
        <v>206829.3956043956</v>
      </c>
      <c r="D164" s="122">
        <v>7528590</v>
      </c>
      <c r="E164" s="120">
        <v>16</v>
      </c>
      <c r="F164" s="33" t="s">
        <v>36</v>
      </c>
      <c r="G164" s="5">
        <v>1</v>
      </c>
      <c r="H164" s="5">
        <f t="shared" si="31"/>
        <v>7528590</v>
      </c>
    </row>
    <row r="165" spans="1:8" ht="15.75" customHeight="1" x14ac:dyDescent="0.2">
      <c r="A165" s="120">
        <v>1</v>
      </c>
      <c r="B165" s="120">
        <v>36.4</v>
      </c>
      <c r="C165" s="121">
        <f t="shared" si="30"/>
        <v>208827.74725274727</v>
      </c>
      <c r="D165" s="122">
        <v>7601330</v>
      </c>
      <c r="E165" s="120">
        <v>17</v>
      </c>
      <c r="F165" s="33" t="s">
        <v>36</v>
      </c>
      <c r="G165" s="5">
        <v>1</v>
      </c>
      <c r="H165" s="5">
        <f t="shared" si="31"/>
        <v>7601330</v>
      </c>
    </row>
    <row r="166" spans="1:8" ht="15.75" customHeight="1" x14ac:dyDescent="0.2">
      <c r="A166" s="120">
        <v>1</v>
      </c>
      <c r="B166" s="120">
        <v>36.46</v>
      </c>
      <c r="C166" s="121">
        <f t="shared" si="30"/>
        <v>176000</v>
      </c>
      <c r="D166" s="122">
        <v>6416960</v>
      </c>
      <c r="E166" s="120">
        <v>1</v>
      </c>
      <c r="F166" s="33" t="s">
        <v>36</v>
      </c>
      <c r="G166" s="5">
        <v>1</v>
      </c>
      <c r="H166" s="5">
        <f t="shared" si="31"/>
        <v>6416960</v>
      </c>
    </row>
    <row r="167" spans="1:8" ht="15.75" customHeight="1" x14ac:dyDescent="0.2">
      <c r="A167" s="120">
        <v>1</v>
      </c>
      <c r="B167" s="120">
        <v>36.46</v>
      </c>
      <c r="C167" s="121">
        <f t="shared" si="30"/>
        <v>176000</v>
      </c>
      <c r="D167" s="122">
        <v>6416960</v>
      </c>
      <c r="E167" s="120">
        <v>2</v>
      </c>
      <c r="F167" s="33" t="s">
        <v>36</v>
      </c>
      <c r="G167" s="5">
        <v>1</v>
      </c>
      <c r="H167" s="5">
        <f t="shared" si="31"/>
        <v>6416960</v>
      </c>
    </row>
    <row r="168" spans="1:8" ht="15.75" customHeight="1" x14ac:dyDescent="0.2">
      <c r="A168" s="120">
        <v>1</v>
      </c>
      <c r="B168" s="120">
        <v>36.5</v>
      </c>
      <c r="C168" s="121">
        <f t="shared" si="30"/>
        <v>180098.63013698629</v>
      </c>
      <c r="D168" s="122">
        <v>6573600</v>
      </c>
      <c r="E168" s="120">
        <v>8</v>
      </c>
      <c r="F168" s="33" t="s">
        <v>36</v>
      </c>
      <c r="G168" s="5">
        <v>1</v>
      </c>
      <c r="H168" s="5">
        <f t="shared" si="31"/>
        <v>6573600</v>
      </c>
    </row>
    <row r="169" spans="1:8" ht="15.75" customHeight="1" x14ac:dyDescent="0.2">
      <c r="A169" s="120">
        <v>1</v>
      </c>
      <c r="B169" s="120">
        <v>36.5</v>
      </c>
      <c r="C169" s="121">
        <f t="shared" si="30"/>
        <v>196107.39726027398</v>
      </c>
      <c r="D169" s="122">
        <v>7157920</v>
      </c>
      <c r="E169" s="120">
        <v>4</v>
      </c>
      <c r="F169" s="33" t="s">
        <v>36</v>
      </c>
      <c r="G169" s="5">
        <v>1</v>
      </c>
      <c r="H169" s="5">
        <f t="shared" si="31"/>
        <v>7157920</v>
      </c>
    </row>
    <row r="170" spans="1:8" ht="15.75" customHeight="1" x14ac:dyDescent="0.2">
      <c r="A170" s="120">
        <v>1</v>
      </c>
      <c r="B170" s="120">
        <v>36.5</v>
      </c>
      <c r="C170" s="121">
        <f t="shared" si="30"/>
        <v>198108.49315068492</v>
      </c>
      <c r="D170" s="122">
        <v>7230960</v>
      </c>
      <c r="E170" s="120">
        <v>8</v>
      </c>
      <c r="F170" s="33" t="s">
        <v>36</v>
      </c>
      <c r="G170" s="5">
        <v>1</v>
      </c>
      <c r="H170" s="5">
        <f t="shared" si="31"/>
        <v>7230960</v>
      </c>
    </row>
    <row r="171" spans="1:8" ht="15.75" customHeight="1" x14ac:dyDescent="0.2">
      <c r="A171" s="120">
        <v>1</v>
      </c>
      <c r="B171" s="120">
        <v>36.5</v>
      </c>
      <c r="C171" s="121">
        <f t="shared" si="30"/>
        <v>198108.49315068492</v>
      </c>
      <c r="D171" s="122">
        <v>7230960</v>
      </c>
      <c r="E171" s="120">
        <v>9</v>
      </c>
      <c r="F171" s="33" t="s">
        <v>36</v>
      </c>
      <c r="G171" s="5">
        <v>1</v>
      </c>
      <c r="H171" s="5">
        <f t="shared" si="31"/>
        <v>7230960</v>
      </c>
    </row>
    <row r="172" spans="1:8" ht="15.75" customHeight="1" x14ac:dyDescent="0.2">
      <c r="A172" s="120">
        <v>1</v>
      </c>
      <c r="B172" s="120">
        <v>36.5</v>
      </c>
      <c r="C172" s="121">
        <f t="shared" si="30"/>
        <v>198108.49315068492</v>
      </c>
      <c r="D172" s="122">
        <v>7230960</v>
      </c>
      <c r="E172" s="120">
        <v>5</v>
      </c>
      <c r="F172" s="33" t="s">
        <v>36</v>
      </c>
      <c r="G172" s="5">
        <v>1</v>
      </c>
      <c r="H172" s="5">
        <f t="shared" si="31"/>
        <v>7230960</v>
      </c>
    </row>
    <row r="173" spans="1:8" ht="15.75" customHeight="1" x14ac:dyDescent="0.2">
      <c r="A173" s="120">
        <v>1</v>
      </c>
      <c r="B173" s="120">
        <v>36.5</v>
      </c>
      <c r="C173" s="121">
        <f t="shared" si="30"/>
        <v>200109.5890410959</v>
      </c>
      <c r="D173" s="122">
        <v>7304000</v>
      </c>
      <c r="E173" s="120">
        <v>6</v>
      </c>
      <c r="F173" s="33" t="s">
        <v>36</v>
      </c>
      <c r="G173" s="5">
        <v>1</v>
      </c>
      <c r="H173" s="5">
        <f t="shared" si="31"/>
        <v>7304000</v>
      </c>
    </row>
    <row r="174" spans="1:8" ht="15.75" customHeight="1" x14ac:dyDescent="0.2">
      <c r="A174" s="120">
        <v>1</v>
      </c>
      <c r="B174" s="120">
        <v>36.5</v>
      </c>
      <c r="C174" s="121">
        <f t="shared" si="30"/>
        <v>200109.5890410959</v>
      </c>
      <c r="D174" s="122">
        <v>7304000</v>
      </c>
      <c r="E174" s="120">
        <v>7</v>
      </c>
      <c r="F174" s="33" t="s">
        <v>36</v>
      </c>
      <c r="G174" s="5">
        <v>1</v>
      </c>
      <c r="H174" s="5">
        <f t="shared" si="31"/>
        <v>7304000</v>
      </c>
    </row>
    <row r="175" spans="1:8" ht="15.75" customHeight="1" x14ac:dyDescent="0.2">
      <c r="A175" s="120">
        <v>1</v>
      </c>
      <c r="B175" s="120">
        <v>36.700000000000003</v>
      </c>
      <c r="C175" s="121">
        <f t="shared" si="30"/>
        <v>193894.2779291553</v>
      </c>
      <c r="D175" s="122">
        <v>7115920</v>
      </c>
      <c r="E175" s="120">
        <v>3</v>
      </c>
      <c r="F175" s="33" t="s">
        <v>36</v>
      </c>
      <c r="G175" s="5">
        <v>1</v>
      </c>
      <c r="H175" s="5">
        <f t="shared" si="31"/>
        <v>7115920</v>
      </c>
    </row>
    <row r="176" spans="1:8" ht="15.75" customHeight="1" x14ac:dyDescent="0.2">
      <c r="A176" s="120">
        <v>1</v>
      </c>
      <c r="B176" s="120">
        <v>36.700000000000003</v>
      </c>
      <c r="C176" s="121">
        <f t="shared" si="30"/>
        <v>195893.18801089918</v>
      </c>
      <c r="D176" s="122">
        <v>7189280</v>
      </c>
      <c r="E176" s="120">
        <v>3</v>
      </c>
      <c r="F176" s="33" t="s">
        <v>36</v>
      </c>
      <c r="G176" s="5">
        <v>1</v>
      </c>
      <c r="H176" s="5">
        <f t="shared" si="31"/>
        <v>7189280</v>
      </c>
    </row>
    <row r="177" spans="1:8" ht="15.75" customHeight="1" x14ac:dyDescent="0.2">
      <c r="A177" s="120">
        <v>1</v>
      </c>
      <c r="B177" s="120">
        <v>36.700000000000003</v>
      </c>
      <c r="C177" s="121">
        <f t="shared" si="30"/>
        <v>195893.18801089918</v>
      </c>
      <c r="D177" s="122">
        <v>7189280</v>
      </c>
      <c r="E177" s="120">
        <v>4</v>
      </c>
      <c r="F177" s="33" t="s">
        <v>36</v>
      </c>
      <c r="G177" s="5">
        <v>1</v>
      </c>
      <c r="H177" s="5">
        <f t="shared" si="31"/>
        <v>7189280</v>
      </c>
    </row>
    <row r="178" spans="1:8" ht="15.75" customHeight="1" x14ac:dyDescent="0.2">
      <c r="A178" s="120">
        <v>1</v>
      </c>
      <c r="B178" s="120">
        <v>36.700000000000003</v>
      </c>
      <c r="C178" s="121">
        <f t="shared" si="30"/>
        <v>195893.18801089918</v>
      </c>
      <c r="D178" s="122">
        <v>7189280</v>
      </c>
      <c r="E178" s="120">
        <v>5</v>
      </c>
      <c r="F178" s="33" t="s">
        <v>36</v>
      </c>
      <c r="G178" s="5">
        <v>1</v>
      </c>
      <c r="H178" s="5">
        <f t="shared" si="31"/>
        <v>7189280</v>
      </c>
    </row>
    <row r="179" spans="1:8" ht="15.75" customHeight="1" x14ac:dyDescent="0.2">
      <c r="A179" s="120">
        <v>1</v>
      </c>
      <c r="B179" s="120">
        <v>36.700000000000003</v>
      </c>
      <c r="C179" s="121">
        <f t="shared" si="30"/>
        <v>197892.09809264305</v>
      </c>
      <c r="D179" s="122">
        <v>7262640</v>
      </c>
      <c r="E179" s="120">
        <v>7</v>
      </c>
      <c r="F179" s="33" t="s">
        <v>36</v>
      </c>
      <c r="G179" s="5">
        <v>1</v>
      </c>
      <c r="H179" s="5">
        <f t="shared" si="31"/>
        <v>7262640</v>
      </c>
    </row>
    <row r="180" spans="1:8" ht="15.75" customHeight="1" x14ac:dyDescent="0.2">
      <c r="A180" s="120">
        <v>1</v>
      </c>
      <c r="B180" s="120">
        <v>36.85</v>
      </c>
      <c r="C180" s="121">
        <f t="shared" si="30"/>
        <v>194000</v>
      </c>
      <c r="D180" s="122">
        <v>7148900</v>
      </c>
      <c r="E180" s="120">
        <v>2</v>
      </c>
      <c r="F180" s="33" t="s">
        <v>36</v>
      </c>
      <c r="G180" s="5">
        <v>1</v>
      </c>
      <c r="H180" s="5">
        <f t="shared" si="31"/>
        <v>7148900</v>
      </c>
    </row>
    <row r="181" spans="1:8" ht="15.75" customHeight="1" x14ac:dyDescent="0.2">
      <c r="A181" s="120">
        <v>1</v>
      </c>
      <c r="B181" s="120">
        <v>36.9</v>
      </c>
      <c r="C181" s="121">
        <f t="shared" si="30"/>
        <v>196212.46612466127</v>
      </c>
      <c r="D181" s="122">
        <v>7240240</v>
      </c>
      <c r="E181" s="120">
        <v>2</v>
      </c>
      <c r="F181" s="33" t="s">
        <v>36</v>
      </c>
      <c r="G181" s="5">
        <v>1</v>
      </c>
      <c r="H181" s="5">
        <f t="shared" si="31"/>
        <v>7240240</v>
      </c>
    </row>
    <row r="182" spans="1:8" ht="15.75" customHeight="1" x14ac:dyDescent="0.2">
      <c r="A182" s="120">
        <v>1</v>
      </c>
      <c r="B182" s="120">
        <v>36.979999999999997</v>
      </c>
      <c r="C182" s="121">
        <f t="shared" si="30"/>
        <v>189000.00000000003</v>
      </c>
      <c r="D182" s="122">
        <v>6989220</v>
      </c>
      <c r="E182" s="120">
        <v>1</v>
      </c>
      <c r="F182" s="33" t="s">
        <v>36</v>
      </c>
      <c r="G182" s="5">
        <v>1</v>
      </c>
      <c r="H182" s="5">
        <f t="shared" si="31"/>
        <v>6989220</v>
      </c>
    </row>
    <row r="183" spans="1:8" ht="15.75" customHeight="1" x14ac:dyDescent="0.2">
      <c r="A183" s="120">
        <v>1</v>
      </c>
      <c r="B183" s="120">
        <v>44.9</v>
      </c>
      <c r="C183" s="121">
        <f t="shared" si="30"/>
        <v>177960.35634743876</v>
      </c>
      <c r="D183" s="122">
        <v>7990420</v>
      </c>
      <c r="E183" s="120">
        <v>13</v>
      </c>
      <c r="F183" s="33" t="s">
        <v>36</v>
      </c>
      <c r="G183" s="5">
        <v>1</v>
      </c>
      <c r="H183" s="5">
        <f t="shared" si="31"/>
        <v>7990420</v>
      </c>
    </row>
    <row r="184" spans="1:8" ht="15.75" customHeight="1" x14ac:dyDescent="0.2">
      <c r="A184" s="120">
        <v>1</v>
      </c>
      <c r="B184" s="120">
        <v>44.9</v>
      </c>
      <c r="C184" s="121">
        <f t="shared" si="30"/>
        <v>180959.6881959911</v>
      </c>
      <c r="D184" s="122">
        <v>8125090</v>
      </c>
      <c r="E184" s="120">
        <v>15</v>
      </c>
      <c r="F184" s="33" t="s">
        <v>36</v>
      </c>
      <c r="G184" s="5">
        <v>1</v>
      </c>
      <c r="H184" s="5">
        <f t="shared" si="31"/>
        <v>8125090</v>
      </c>
    </row>
    <row r="185" spans="1:8" ht="15.75" customHeight="1" x14ac:dyDescent="0.2">
      <c r="A185" s="120">
        <v>1</v>
      </c>
      <c r="B185" s="120">
        <v>44.9</v>
      </c>
      <c r="C185" s="121">
        <f t="shared" si="30"/>
        <v>180959.6881959911</v>
      </c>
      <c r="D185" s="122">
        <v>8125090</v>
      </c>
      <c r="E185" s="120">
        <v>14</v>
      </c>
      <c r="F185" s="33" t="s">
        <v>36</v>
      </c>
      <c r="G185" s="5">
        <v>1</v>
      </c>
      <c r="H185" s="5">
        <f t="shared" si="31"/>
        <v>8125090</v>
      </c>
    </row>
    <row r="186" spans="1:8" ht="15.75" customHeight="1" x14ac:dyDescent="0.2">
      <c r="A186" s="120">
        <v>1</v>
      </c>
      <c r="B186" s="120">
        <v>44.9</v>
      </c>
      <c r="C186" s="121">
        <f t="shared" si="30"/>
        <v>180959.6881959911</v>
      </c>
      <c r="D186" s="122">
        <v>8125090</v>
      </c>
      <c r="E186" s="120">
        <v>15</v>
      </c>
      <c r="F186" s="33" t="s">
        <v>36</v>
      </c>
      <c r="G186" s="5">
        <v>1</v>
      </c>
      <c r="H186" s="5">
        <f t="shared" si="31"/>
        <v>8125090</v>
      </c>
    </row>
    <row r="187" spans="1:8" ht="15.75" customHeight="1" x14ac:dyDescent="0.2">
      <c r="A187" s="120">
        <v>1</v>
      </c>
      <c r="B187" s="120">
        <v>44.9</v>
      </c>
      <c r="C187" s="121">
        <f t="shared" si="30"/>
        <v>181959.46547884188</v>
      </c>
      <c r="D187" s="122">
        <v>8169980</v>
      </c>
      <c r="E187" s="120">
        <v>16</v>
      </c>
      <c r="F187" s="33" t="s">
        <v>36</v>
      </c>
      <c r="G187" s="5">
        <v>1</v>
      </c>
      <c r="H187" s="5">
        <f t="shared" si="31"/>
        <v>8169980</v>
      </c>
    </row>
    <row r="188" spans="1:8" ht="15.75" customHeight="1" x14ac:dyDescent="0.2">
      <c r="A188" s="120">
        <v>1</v>
      </c>
      <c r="B188" s="120">
        <v>44.9</v>
      </c>
      <c r="C188" s="121">
        <f t="shared" ref="C188" si="32">D188/B188</f>
        <v>180959.6881959911</v>
      </c>
      <c r="D188" s="122">
        <v>8125090</v>
      </c>
      <c r="E188" s="120">
        <v>14</v>
      </c>
      <c r="F188" s="33" t="s">
        <v>36</v>
      </c>
      <c r="G188" s="5">
        <v>1</v>
      </c>
      <c r="H188" s="5">
        <f t="shared" ref="H188" si="33">G188*D188</f>
        <v>8125090</v>
      </c>
    </row>
    <row r="189" spans="1:8" ht="15.75" customHeight="1" x14ac:dyDescent="0.2">
      <c r="A189" s="120">
        <v>1</v>
      </c>
      <c r="B189" s="120">
        <v>44.9</v>
      </c>
      <c r="C189" s="121">
        <f t="shared" si="30"/>
        <v>181959.46547884188</v>
      </c>
      <c r="D189" s="122">
        <v>8169980</v>
      </c>
      <c r="E189" s="120">
        <v>16</v>
      </c>
      <c r="F189" s="33" t="s">
        <v>36</v>
      </c>
      <c r="G189" s="5">
        <v>1</v>
      </c>
      <c r="H189" s="5">
        <f t="shared" si="31"/>
        <v>8169980</v>
      </c>
    </row>
    <row r="190" spans="1:8" ht="15.75" customHeight="1" x14ac:dyDescent="0.2">
      <c r="A190" s="120">
        <v>1</v>
      </c>
      <c r="B190" s="120">
        <v>44.9</v>
      </c>
      <c r="C190" s="121">
        <f t="shared" si="30"/>
        <v>182959.24276169264</v>
      </c>
      <c r="D190" s="122">
        <v>8214870</v>
      </c>
      <c r="E190" s="120">
        <v>17</v>
      </c>
      <c r="F190" s="33" t="s">
        <v>36</v>
      </c>
      <c r="G190" s="5">
        <v>1</v>
      </c>
      <c r="H190" s="5">
        <f t="shared" si="31"/>
        <v>8214870</v>
      </c>
    </row>
    <row r="191" spans="1:8" ht="15.75" customHeight="1" x14ac:dyDescent="0.2">
      <c r="A191" s="120">
        <v>1</v>
      </c>
      <c r="B191" s="120">
        <v>44.9</v>
      </c>
      <c r="C191" s="121">
        <f t="shared" si="30"/>
        <v>182959.24276169264</v>
      </c>
      <c r="D191" s="122">
        <v>8214870</v>
      </c>
      <c r="E191" s="120">
        <v>17</v>
      </c>
      <c r="F191" s="33" t="s">
        <v>36</v>
      </c>
      <c r="G191" s="5">
        <v>1</v>
      </c>
      <c r="H191" s="5">
        <f t="shared" si="31"/>
        <v>8214870</v>
      </c>
    </row>
    <row r="192" spans="1:8" ht="15.75" customHeight="1" x14ac:dyDescent="0.2">
      <c r="A192" s="120">
        <v>1</v>
      </c>
      <c r="B192" s="120">
        <v>45</v>
      </c>
      <c r="C192" s="121">
        <f t="shared" si="30"/>
        <v>178039.55555555556</v>
      </c>
      <c r="D192" s="122">
        <v>8011780</v>
      </c>
      <c r="E192" s="120">
        <v>12</v>
      </c>
      <c r="F192" s="33" t="s">
        <v>36</v>
      </c>
      <c r="G192" s="5">
        <v>1</v>
      </c>
      <c r="H192" s="5">
        <f t="shared" si="31"/>
        <v>8011780</v>
      </c>
    </row>
    <row r="193" spans="1:8" ht="15.75" customHeight="1" x14ac:dyDescent="0.2">
      <c r="A193" s="120">
        <v>1</v>
      </c>
      <c r="B193" s="120">
        <v>45</v>
      </c>
      <c r="C193" s="121">
        <f t="shared" si="30"/>
        <v>178039.55555555556</v>
      </c>
      <c r="D193" s="122">
        <v>8011780</v>
      </c>
      <c r="E193" s="120">
        <v>10</v>
      </c>
      <c r="F193" s="33" t="s">
        <v>36</v>
      </c>
      <c r="G193" s="5">
        <v>1</v>
      </c>
      <c r="H193" s="5">
        <f t="shared" si="31"/>
        <v>8011780</v>
      </c>
    </row>
    <row r="194" spans="1:8" ht="15.75" customHeight="1" x14ac:dyDescent="0.2">
      <c r="A194" s="120">
        <v>1</v>
      </c>
      <c r="B194" s="120">
        <v>45</v>
      </c>
      <c r="C194" s="121">
        <f t="shared" si="30"/>
        <v>178039.55555555556</v>
      </c>
      <c r="D194" s="122">
        <v>8011780</v>
      </c>
      <c r="E194" s="120">
        <v>11</v>
      </c>
      <c r="F194" s="33" t="s">
        <v>36</v>
      </c>
      <c r="G194" s="5">
        <v>1</v>
      </c>
      <c r="H194" s="5">
        <f t="shared" si="31"/>
        <v>8011780</v>
      </c>
    </row>
    <row r="195" spans="1:8" ht="15.75" customHeight="1" x14ac:dyDescent="0.2">
      <c r="A195" s="120">
        <v>1</v>
      </c>
      <c r="B195" s="120">
        <v>45</v>
      </c>
      <c r="C195" s="121">
        <f t="shared" ref="C195" si="34">D195/B195</f>
        <v>178039.55555555556</v>
      </c>
      <c r="D195" s="122">
        <v>8011780</v>
      </c>
      <c r="E195" s="120">
        <v>11</v>
      </c>
      <c r="F195" s="33" t="s">
        <v>36</v>
      </c>
      <c r="G195" s="5">
        <v>1</v>
      </c>
      <c r="H195" s="5">
        <f t="shared" ref="H195" si="35">G195*D195</f>
        <v>8011780</v>
      </c>
    </row>
    <row r="196" spans="1:8" ht="15.75" customHeight="1" x14ac:dyDescent="0.2">
      <c r="A196" s="120">
        <v>1</v>
      </c>
      <c r="B196" s="120">
        <v>45</v>
      </c>
      <c r="C196" s="121">
        <f t="shared" si="30"/>
        <v>178039.55555555556</v>
      </c>
      <c r="D196" s="122">
        <v>8011780</v>
      </c>
      <c r="E196" s="120">
        <v>12</v>
      </c>
      <c r="F196" s="33" t="s">
        <v>36</v>
      </c>
      <c r="G196" s="5">
        <v>1</v>
      </c>
      <c r="H196" s="5">
        <f t="shared" si="31"/>
        <v>8011780</v>
      </c>
    </row>
    <row r="197" spans="1:8" ht="15.75" customHeight="1" x14ac:dyDescent="0.2">
      <c r="A197" s="120">
        <v>1</v>
      </c>
      <c r="B197" s="120">
        <v>45</v>
      </c>
      <c r="C197" s="121">
        <f t="shared" si="30"/>
        <v>178039.55555555556</v>
      </c>
      <c r="D197" s="122">
        <v>8011780</v>
      </c>
      <c r="E197" s="120">
        <v>13</v>
      </c>
      <c r="F197" s="33" t="s">
        <v>36</v>
      </c>
      <c r="G197" s="5">
        <v>1</v>
      </c>
      <c r="H197" s="5">
        <f t="shared" si="31"/>
        <v>8011780</v>
      </c>
    </row>
    <row r="198" spans="1:8" ht="15.75" customHeight="1" x14ac:dyDescent="0.2">
      <c r="A198" s="120">
        <v>1</v>
      </c>
      <c r="B198" s="120">
        <v>45.1</v>
      </c>
      <c r="C198" s="121">
        <f t="shared" si="30"/>
        <v>174883.59201773835</v>
      </c>
      <c r="D198" s="122">
        <v>7887250</v>
      </c>
      <c r="E198" s="120">
        <v>8</v>
      </c>
      <c r="F198" s="33" t="s">
        <v>36</v>
      </c>
      <c r="G198" s="5">
        <v>1</v>
      </c>
      <c r="H198" s="5">
        <f t="shared" si="31"/>
        <v>7887250</v>
      </c>
    </row>
    <row r="199" spans="1:8" ht="15.75" customHeight="1" x14ac:dyDescent="0.2">
      <c r="A199" s="120">
        <v>1</v>
      </c>
      <c r="B199" s="120">
        <v>45.1</v>
      </c>
      <c r="C199" s="121">
        <f t="shared" si="30"/>
        <v>177881.59645232814</v>
      </c>
      <c r="D199" s="122">
        <v>8022460</v>
      </c>
      <c r="E199" s="120">
        <v>9</v>
      </c>
      <c r="F199" s="33" t="s">
        <v>36</v>
      </c>
      <c r="G199" s="5">
        <v>1</v>
      </c>
      <c r="H199" s="5">
        <f t="shared" si="31"/>
        <v>8022460</v>
      </c>
    </row>
    <row r="200" spans="1:8" ht="15.75" customHeight="1" x14ac:dyDescent="0.2">
      <c r="A200" s="120">
        <v>1</v>
      </c>
      <c r="B200" s="120">
        <v>45.1</v>
      </c>
      <c r="C200" s="121">
        <f t="shared" si="30"/>
        <v>177921.06430155211</v>
      </c>
      <c r="D200" s="122">
        <v>8024240</v>
      </c>
      <c r="E200" s="120">
        <v>10</v>
      </c>
      <c r="F200" s="33" t="s">
        <v>36</v>
      </c>
      <c r="G200" s="5">
        <v>1</v>
      </c>
      <c r="H200" s="5">
        <f t="shared" si="31"/>
        <v>8024240</v>
      </c>
    </row>
    <row r="201" spans="1:8" ht="15.75" customHeight="1" x14ac:dyDescent="0.2">
      <c r="A201" s="120">
        <v>1</v>
      </c>
      <c r="B201" s="120">
        <v>45.1</v>
      </c>
      <c r="C201" s="121">
        <f t="shared" si="30"/>
        <v>177921.06430155211</v>
      </c>
      <c r="D201" s="122">
        <v>8024240</v>
      </c>
      <c r="E201" s="120">
        <v>9</v>
      </c>
      <c r="F201" s="33" t="s">
        <v>36</v>
      </c>
      <c r="G201" s="5">
        <v>1</v>
      </c>
      <c r="H201" s="5">
        <f t="shared" si="31"/>
        <v>8024240</v>
      </c>
    </row>
    <row r="202" spans="1:8" ht="15.75" customHeight="1" x14ac:dyDescent="0.2">
      <c r="A202" s="120">
        <v>1</v>
      </c>
      <c r="B202" s="120">
        <v>45.2</v>
      </c>
      <c r="C202" s="121">
        <f t="shared" si="30"/>
        <v>172114.15929203539</v>
      </c>
      <c r="D202" s="122">
        <v>7779560</v>
      </c>
      <c r="E202" s="120">
        <v>3</v>
      </c>
      <c r="F202" s="33" t="s">
        <v>36</v>
      </c>
      <c r="G202" s="5">
        <v>1</v>
      </c>
      <c r="H202" s="5">
        <f t="shared" si="31"/>
        <v>7779560</v>
      </c>
    </row>
    <row r="203" spans="1:8" ht="15.75" customHeight="1" x14ac:dyDescent="0.2">
      <c r="A203" s="120">
        <v>1</v>
      </c>
      <c r="B203" s="120">
        <v>45.2</v>
      </c>
      <c r="C203" s="121">
        <f t="shared" si="30"/>
        <v>172114.15929203539</v>
      </c>
      <c r="D203" s="122">
        <v>7779560</v>
      </c>
      <c r="E203" s="120">
        <v>4</v>
      </c>
      <c r="F203" s="33" t="s">
        <v>36</v>
      </c>
      <c r="G203" s="5">
        <v>1</v>
      </c>
      <c r="H203" s="5">
        <f t="shared" si="31"/>
        <v>7779560</v>
      </c>
    </row>
    <row r="204" spans="1:8" ht="15.75" customHeight="1" x14ac:dyDescent="0.2">
      <c r="A204" s="120">
        <v>1</v>
      </c>
      <c r="B204" s="120">
        <v>45.2</v>
      </c>
      <c r="C204" s="121">
        <f t="shared" si="30"/>
        <v>172114.15929203539</v>
      </c>
      <c r="D204" s="122">
        <v>7779560</v>
      </c>
      <c r="E204" s="120">
        <v>4</v>
      </c>
      <c r="F204" s="33" t="s">
        <v>36</v>
      </c>
      <c r="G204" s="5">
        <v>1</v>
      </c>
      <c r="H204" s="5">
        <f t="shared" si="31"/>
        <v>7779560</v>
      </c>
    </row>
    <row r="205" spans="1:8" ht="15.75" customHeight="1" x14ac:dyDescent="0.2">
      <c r="A205" s="120">
        <v>1</v>
      </c>
      <c r="B205" s="120">
        <v>45.2</v>
      </c>
      <c r="C205" s="121">
        <f t="shared" si="30"/>
        <v>175116.15044247787</v>
      </c>
      <c r="D205" s="122">
        <v>7915250</v>
      </c>
      <c r="E205" s="120">
        <v>7</v>
      </c>
      <c r="F205" s="33" t="s">
        <v>36</v>
      </c>
      <c r="G205" s="5">
        <v>1</v>
      </c>
      <c r="H205" s="5">
        <f t="shared" si="31"/>
        <v>7915250</v>
      </c>
    </row>
    <row r="206" spans="1:8" ht="15.75" customHeight="1" x14ac:dyDescent="0.2">
      <c r="A206" s="120">
        <v>1</v>
      </c>
      <c r="B206" s="120">
        <v>45.2</v>
      </c>
      <c r="C206" s="121">
        <f t="shared" si="30"/>
        <v>175116.15044247787</v>
      </c>
      <c r="D206" s="122">
        <v>7915250</v>
      </c>
      <c r="E206" s="120">
        <v>5</v>
      </c>
      <c r="F206" s="33" t="s">
        <v>36</v>
      </c>
      <c r="G206" s="5">
        <v>1</v>
      </c>
      <c r="H206" s="5">
        <f t="shared" si="31"/>
        <v>7915250</v>
      </c>
    </row>
    <row r="207" spans="1:8" ht="15.75" customHeight="1" x14ac:dyDescent="0.2">
      <c r="A207" s="120">
        <v>1</v>
      </c>
      <c r="B207" s="120">
        <v>45.2</v>
      </c>
      <c r="C207" s="121">
        <f t="shared" ref="C207" si="36">D207/B207</f>
        <v>175116.15044247787</v>
      </c>
      <c r="D207" s="122">
        <v>7915250</v>
      </c>
      <c r="E207" s="120">
        <v>5</v>
      </c>
      <c r="F207" s="33" t="s">
        <v>36</v>
      </c>
      <c r="G207" s="5">
        <v>1</v>
      </c>
      <c r="H207" s="5">
        <f t="shared" ref="H207" si="37">G207*D207</f>
        <v>7915250</v>
      </c>
    </row>
    <row r="208" spans="1:8" ht="15.75" customHeight="1" x14ac:dyDescent="0.2">
      <c r="A208" s="120">
        <v>1</v>
      </c>
      <c r="B208" s="120">
        <v>45.2</v>
      </c>
      <c r="C208" s="121">
        <f t="shared" ref="C208" si="38">D208/B208</f>
        <v>175116.15044247787</v>
      </c>
      <c r="D208" s="122">
        <v>7915250</v>
      </c>
      <c r="E208" s="120">
        <v>6</v>
      </c>
      <c r="F208" s="33" t="s">
        <v>36</v>
      </c>
      <c r="G208" s="5">
        <v>1</v>
      </c>
      <c r="H208" s="5">
        <f t="shared" ref="H208" si="39">G208*D208</f>
        <v>7915250</v>
      </c>
    </row>
    <row r="209" spans="1:8" ht="15.75" customHeight="1" x14ac:dyDescent="0.2">
      <c r="A209" s="120">
        <v>1</v>
      </c>
      <c r="B209" s="120">
        <v>45.2</v>
      </c>
      <c r="C209" s="121">
        <f t="shared" si="30"/>
        <v>175116.15044247787</v>
      </c>
      <c r="D209" s="122">
        <v>7915250</v>
      </c>
      <c r="E209" s="120">
        <v>7</v>
      </c>
      <c r="F209" s="33" t="s">
        <v>36</v>
      </c>
      <c r="G209" s="5">
        <v>1</v>
      </c>
      <c r="H209" s="5">
        <f t="shared" si="31"/>
        <v>7915250</v>
      </c>
    </row>
    <row r="210" spans="1:8" ht="15.75" customHeight="1" x14ac:dyDescent="0.2">
      <c r="A210" s="120">
        <v>1</v>
      </c>
      <c r="B210" s="120">
        <v>45.2</v>
      </c>
      <c r="C210" s="121">
        <f t="shared" ref="C210" si="40">D210/B210</f>
        <v>178118.14159292035</v>
      </c>
      <c r="D210" s="122">
        <v>8050940</v>
      </c>
      <c r="E210" s="120">
        <v>8</v>
      </c>
      <c r="F210" s="33" t="s">
        <v>36</v>
      </c>
      <c r="G210" s="5">
        <v>1</v>
      </c>
      <c r="H210" s="5">
        <f t="shared" ref="H210" si="41">G210*D210</f>
        <v>8050940</v>
      </c>
    </row>
    <row r="211" spans="1:8" ht="15.75" customHeight="1" x14ac:dyDescent="0.2">
      <c r="A211" s="120">
        <v>1</v>
      </c>
      <c r="B211" s="120">
        <v>45.2</v>
      </c>
      <c r="C211" s="121">
        <f t="shared" si="30"/>
        <v>175116.15044247787</v>
      </c>
      <c r="D211" s="122">
        <v>7915250</v>
      </c>
      <c r="E211" s="120">
        <v>6</v>
      </c>
      <c r="F211" s="33" t="s">
        <v>36</v>
      </c>
      <c r="G211" s="5">
        <v>1</v>
      </c>
      <c r="H211" s="5">
        <f t="shared" si="31"/>
        <v>7915250</v>
      </c>
    </row>
    <row r="212" spans="1:8" ht="15.75" customHeight="1" x14ac:dyDescent="0.2">
      <c r="A212" s="120">
        <v>1</v>
      </c>
      <c r="B212" s="120">
        <v>45.39</v>
      </c>
      <c r="C212" s="121">
        <f t="shared" si="30"/>
        <v>170000</v>
      </c>
      <c r="D212" s="122">
        <v>7716300</v>
      </c>
      <c r="E212" s="120">
        <v>2</v>
      </c>
      <c r="F212" s="33" t="s">
        <v>36</v>
      </c>
      <c r="G212" s="5">
        <v>1</v>
      </c>
      <c r="H212" s="5">
        <f t="shared" si="31"/>
        <v>7716300</v>
      </c>
    </row>
    <row r="213" spans="1:8" ht="15.75" customHeight="1" x14ac:dyDescent="0.2">
      <c r="A213" s="120">
        <v>1</v>
      </c>
      <c r="B213" s="120">
        <v>45.4</v>
      </c>
      <c r="C213" s="121">
        <f t="shared" si="30"/>
        <v>171962.11453744493</v>
      </c>
      <c r="D213" s="122">
        <v>7807080</v>
      </c>
      <c r="E213" s="120">
        <v>3</v>
      </c>
      <c r="F213" s="33" t="s">
        <v>36</v>
      </c>
      <c r="G213" s="5">
        <v>1</v>
      </c>
      <c r="H213" s="5">
        <f t="shared" si="31"/>
        <v>7807080</v>
      </c>
    </row>
    <row r="214" spans="1:8" ht="15.75" customHeight="1" x14ac:dyDescent="0.2">
      <c r="A214" s="120">
        <v>1</v>
      </c>
      <c r="B214" s="120">
        <v>45.69</v>
      </c>
      <c r="C214" s="121">
        <f t="shared" si="30"/>
        <v>168000</v>
      </c>
      <c r="D214" s="122">
        <v>7675920</v>
      </c>
      <c r="E214" s="120">
        <v>1</v>
      </c>
      <c r="F214" s="33" t="s">
        <v>36</v>
      </c>
      <c r="G214" s="5">
        <v>1</v>
      </c>
      <c r="H214" s="5">
        <f t="shared" si="31"/>
        <v>7675920</v>
      </c>
    </row>
    <row r="215" spans="1:8" ht="15.75" customHeight="1" x14ac:dyDescent="0.2">
      <c r="A215" s="120">
        <v>1</v>
      </c>
      <c r="B215" s="120">
        <v>45.7</v>
      </c>
      <c r="C215" s="121">
        <f t="shared" si="30"/>
        <v>169962.8008752735</v>
      </c>
      <c r="D215" s="122">
        <v>7767300</v>
      </c>
      <c r="E215" s="120">
        <v>2</v>
      </c>
      <c r="F215" s="33" t="s">
        <v>36</v>
      </c>
      <c r="G215" s="5">
        <v>1</v>
      </c>
      <c r="H215" s="5">
        <f t="shared" si="31"/>
        <v>7767300</v>
      </c>
    </row>
    <row r="216" spans="1:8" ht="15.75" customHeight="1" x14ac:dyDescent="0.2">
      <c r="A216" s="124">
        <v>2</v>
      </c>
      <c r="B216" s="128">
        <v>49</v>
      </c>
      <c r="C216" s="121">
        <f t="shared" si="30"/>
        <v>181147.75510204083</v>
      </c>
      <c r="D216" s="125">
        <v>8876240</v>
      </c>
      <c r="E216" s="126">
        <v>15</v>
      </c>
      <c r="F216" s="33" t="s">
        <v>36</v>
      </c>
      <c r="G216" s="5">
        <v>1</v>
      </c>
      <c r="H216" s="5">
        <f t="shared" si="31"/>
        <v>8876240</v>
      </c>
    </row>
    <row r="217" spans="1:8" ht="15.75" customHeight="1" x14ac:dyDescent="0.2">
      <c r="A217" s="124">
        <v>2</v>
      </c>
      <c r="B217" s="128">
        <v>49</v>
      </c>
      <c r="C217" s="121">
        <f t="shared" si="30"/>
        <v>181147.75510204083</v>
      </c>
      <c r="D217" s="122">
        <v>8876240</v>
      </c>
      <c r="E217" s="126">
        <v>14</v>
      </c>
      <c r="F217" s="33" t="s">
        <v>36</v>
      </c>
      <c r="G217" s="5">
        <v>1</v>
      </c>
      <c r="H217" s="5">
        <f t="shared" si="31"/>
        <v>8876240</v>
      </c>
    </row>
    <row r="218" spans="1:8" ht="15.75" customHeight="1" x14ac:dyDescent="0.2">
      <c r="A218" s="124">
        <v>2</v>
      </c>
      <c r="B218" s="128">
        <v>49</v>
      </c>
      <c r="C218" s="121">
        <f t="shared" si="30"/>
        <v>182148.57142857142</v>
      </c>
      <c r="D218" s="122">
        <v>8925280</v>
      </c>
      <c r="E218" s="126">
        <v>16</v>
      </c>
      <c r="F218" s="33" t="s">
        <v>36</v>
      </c>
      <c r="G218" s="5">
        <v>1</v>
      </c>
      <c r="H218" s="5">
        <f t="shared" si="31"/>
        <v>8925280</v>
      </c>
    </row>
    <row r="219" spans="1:8" ht="15.75" customHeight="1" x14ac:dyDescent="0.2">
      <c r="A219" s="120">
        <v>2</v>
      </c>
      <c r="B219" s="240">
        <v>49.1</v>
      </c>
      <c r="C219" s="121">
        <f t="shared" si="30"/>
        <v>177854.9898167006</v>
      </c>
      <c r="D219" s="122">
        <v>8732680</v>
      </c>
      <c r="E219" s="120">
        <v>13</v>
      </c>
      <c r="F219" s="33" t="s">
        <v>36</v>
      </c>
      <c r="G219" s="5">
        <v>1</v>
      </c>
      <c r="H219" s="5">
        <f t="shared" si="31"/>
        <v>8732680</v>
      </c>
    </row>
    <row r="220" spans="1:8" ht="15.75" customHeight="1" x14ac:dyDescent="0.2">
      <c r="A220" s="124">
        <v>2</v>
      </c>
      <c r="B220" s="240">
        <v>49.1</v>
      </c>
      <c r="C220" s="121">
        <f t="shared" si="30"/>
        <v>178072.50509164968</v>
      </c>
      <c r="D220" s="125">
        <v>8743360</v>
      </c>
      <c r="E220" s="126">
        <v>12</v>
      </c>
      <c r="F220" s="33" t="s">
        <v>36</v>
      </c>
      <c r="G220" s="5">
        <v>1</v>
      </c>
      <c r="H220" s="5">
        <f t="shared" si="31"/>
        <v>8743360</v>
      </c>
    </row>
    <row r="221" spans="1:8" ht="15.75" customHeight="1" x14ac:dyDescent="0.2">
      <c r="A221" s="124">
        <v>2</v>
      </c>
      <c r="B221" s="240">
        <v>49.1</v>
      </c>
      <c r="C221" s="121">
        <f t="shared" si="30"/>
        <v>178072.50509164968</v>
      </c>
      <c r="D221" s="125">
        <v>8743360</v>
      </c>
      <c r="E221" s="126">
        <v>12</v>
      </c>
      <c r="F221" s="33" t="s">
        <v>36</v>
      </c>
      <c r="G221" s="5">
        <v>1</v>
      </c>
      <c r="H221" s="5">
        <f t="shared" si="31"/>
        <v>8743360</v>
      </c>
    </row>
    <row r="222" spans="1:8" ht="15.75" customHeight="1" x14ac:dyDescent="0.2">
      <c r="A222" s="124">
        <v>2</v>
      </c>
      <c r="B222" s="240">
        <v>49.1</v>
      </c>
      <c r="C222" s="121">
        <f t="shared" si="30"/>
        <v>178072.50509164968</v>
      </c>
      <c r="D222" s="125">
        <v>8743360</v>
      </c>
      <c r="E222" s="126">
        <v>13</v>
      </c>
      <c r="F222" s="33" t="s">
        <v>36</v>
      </c>
      <c r="G222" s="5">
        <v>1</v>
      </c>
      <c r="H222" s="5">
        <f t="shared" si="31"/>
        <v>8743360</v>
      </c>
    </row>
    <row r="223" spans="1:8" ht="15.75" customHeight="1" x14ac:dyDescent="0.2">
      <c r="A223" s="124">
        <v>2</v>
      </c>
      <c r="B223" s="240">
        <v>49.1</v>
      </c>
      <c r="C223" s="121">
        <f t="shared" si="30"/>
        <v>178072.50509164968</v>
      </c>
      <c r="D223" s="125">
        <v>8743360</v>
      </c>
      <c r="E223" s="126">
        <v>10</v>
      </c>
      <c r="F223" s="33" t="s">
        <v>36</v>
      </c>
      <c r="G223" s="5">
        <v>1</v>
      </c>
      <c r="H223" s="5">
        <f t="shared" si="31"/>
        <v>8743360</v>
      </c>
    </row>
    <row r="224" spans="1:8" ht="15.75" customHeight="1" x14ac:dyDescent="0.2">
      <c r="A224" s="124">
        <v>2</v>
      </c>
      <c r="B224" s="240">
        <v>49.1</v>
      </c>
      <c r="C224" s="121">
        <f t="shared" si="30"/>
        <v>178072.50509164968</v>
      </c>
      <c r="D224" s="125">
        <v>8743360</v>
      </c>
      <c r="E224" s="126">
        <v>11</v>
      </c>
      <c r="F224" s="33" t="s">
        <v>36</v>
      </c>
      <c r="G224" s="5">
        <v>1</v>
      </c>
      <c r="H224" s="5">
        <f t="shared" si="31"/>
        <v>8743360</v>
      </c>
    </row>
    <row r="225" spans="1:8" ht="15.75" customHeight="1" x14ac:dyDescent="0.2">
      <c r="A225" s="124">
        <v>2</v>
      </c>
      <c r="B225" s="240">
        <v>49.1</v>
      </c>
      <c r="C225" s="121">
        <f t="shared" si="30"/>
        <v>178072.50509164968</v>
      </c>
      <c r="D225" s="125">
        <v>8743360</v>
      </c>
      <c r="E225" s="126">
        <v>11</v>
      </c>
      <c r="F225" s="33" t="s">
        <v>36</v>
      </c>
      <c r="G225" s="5">
        <v>1</v>
      </c>
      <c r="H225" s="5">
        <f t="shared" si="31"/>
        <v>8743360</v>
      </c>
    </row>
    <row r="226" spans="1:8" ht="15.75" customHeight="1" x14ac:dyDescent="0.2">
      <c r="A226" s="124">
        <v>2</v>
      </c>
      <c r="B226" s="128">
        <v>49.1</v>
      </c>
      <c r="C226" s="121">
        <f t="shared" si="30"/>
        <v>180852.54582484724</v>
      </c>
      <c r="D226" s="122">
        <v>8879860</v>
      </c>
      <c r="E226" s="126">
        <v>14</v>
      </c>
      <c r="F226" s="33" t="s">
        <v>36</v>
      </c>
      <c r="G226" s="5">
        <v>1</v>
      </c>
      <c r="H226" s="5">
        <f t="shared" si="31"/>
        <v>8879860</v>
      </c>
    </row>
    <row r="227" spans="1:8" ht="15.75" customHeight="1" x14ac:dyDescent="0.2">
      <c r="A227" s="124">
        <v>2</v>
      </c>
      <c r="B227" s="128">
        <v>49.1</v>
      </c>
      <c r="C227" s="121">
        <f t="shared" ref="C227" si="42">D227/B227</f>
        <v>180852.54582484724</v>
      </c>
      <c r="D227" s="122">
        <v>8879860</v>
      </c>
      <c r="E227" s="126">
        <v>15</v>
      </c>
      <c r="F227" s="33" t="s">
        <v>36</v>
      </c>
      <c r="G227" s="5">
        <v>1</v>
      </c>
      <c r="H227" s="5">
        <f t="shared" ref="H227" si="43">G227*D227</f>
        <v>8879860</v>
      </c>
    </row>
    <row r="228" spans="1:8" ht="15.75" customHeight="1" x14ac:dyDescent="0.2">
      <c r="A228" s="124">
        <v>2</v>
      </c>
      <c r="B228" s="128">
        <v>49.1</v>
      </c>
      <c r="C228" s="121">
        <f t="shared" si="30"/>
        <v>181851.73116089613</v>
      </c>
      <c r="D228" s="122">
        <v>8928920</v>
      </c>
      <c r="E228" s="126">
        <v>16</v>
      </c>
      <c r="F228" s="33" t="s">
        <v>36</v>
      </c>
      <c r="G228" s="5">
        <v>1</v>
      </c>
      <c r="H228" s="5">
        <f t="shared" si="31"/>
        <v>8928920</v>
      </c>
    </row>
    <row r="229" spans="1:8" ht="15.75" customHeight="1" x14ac:dyDescent="0.2">
      <c r="A229" s="124">
        <v>2</v>
      </c>
      <c r="B229" s="128">
        <v>49.1</v>
      </c>
      <c r="C229" s="121">
        <f t="shared" si="30"/>
        <v>182850.91649694499</v>
      </c>
      <c r="D229" s="122">
        <v>8977980</v>
      </c>
      <c r="E229" s="126">
        <v>17</v>
      </c>
      <c r="F229" s="33" t="s">
        <v>36</v>
      </c>
      <c r="G229" s="5">
        <v>1</v>
      </c>
      <c r="H229" s="5">
        <f t="shared" si="31"/>
        <v>8977980</v>
      </c>
    </row>
    <row r="230" spans="1:8" ht="15.75" customHeight="1" x14ac:dyDescent="0.2">
      <c r="A230" s="120">
        <v>2</v>
      </c>
      <c r="B230" s="120">
        <v>49.2</v>
      </c>
      <c r="C230" s="121">
        <f t="shared" ref="C230:C311" si="44">D230/B230</f>
        <v>175035.56910569104</v>
      </c>
      <c r="D230" s="122">
        <v>8611750</v>
      </c>
      <c r="E230" s="120">
        <v>8</v>
      </c>
      <c r="F230" s="33" t="s">
        <v>36</v>
      </c>
      <c r="G230" s="5">
        <v>1</v>
      </c>
      <c r="H230" s="5">
        <f t="shared" ref="H230:H311" si="45">G230*D230</f>
        <v>8611750</v>
      </c>
    </row>
    <row r="231" spans="1:8" ht="15.75" customHeight="1" x14ac:dyDescent="0.2">
      <c r="A231" s="124">
        <v>2</v>
      </c>
      <c r="B231" s="128">
        <v>49.2</v>
      </c>
      <c r="C231" s="121">
        <f t="shared" si="44"/>
        <v>178036.17886178862</v>
      </c>
      <c r="D231" s="125">
        <v>8759380</v>
      </c>
      <c r="E231" s="126">
        <v>10</v>
      </c>
      <c r="F231" s="33" t="s">
        <v>36</v>
      </c>
      <c r="G231" s="5">
        <v>1</v>
      </c>
      <c r="H231" s="5">
        <f t="shared" si="45"/>
        <v>8759380</v>
      </c>
    </row>
    <row r="232" spans="1:8" ht="15.75" customHeight="1" x14ac:dyDescent="0.2">
      <c r="A232" s="124">
        <v>2</v>
      </c>
      <c r="B232" s="128">
        <v>49.2</v>
      </c>
      <c r="C232" s="121">
        <f t="shared" ref="C232" si="46">D232/B232</f>
        <v>178036.17886178862</v>
      </c>
      <c r="D232" s="125">
        <v>8759380</v>
      </c>
      <c r="E232" s="126">
        <v>9</v>
      </c>
      <c r="F232" s="33" t="s">
        <v>36</v>
      </c>
      <c r="G232" s="5">
        <v>1</v>
      </c>
      <c r="H232" s="5">
        <f t="shared" ref="H232" si="47">G232*D232</f>
        <v>8759380</v>
      </c>
    </row>
    <row r="233" spans="1:8" ht="15.75" customHeight="1" x14ac:dyDescent="0.2">
      <c r="A233" s="124">
        <v>2</v>
      </c>
      <c r="B233" s="128">
        <v>49.2</v>
      </c>
      <c r="C233" s="121">
        <f t="shared" si="44"/>
        <v>178036.17886178862</v>
      </c>
      <c r="D233" s="125">
        <v>8759380</v>
      </c>
      <c r="E233" s="126">
        <v>9</v>
      </c>
      <c r="F233" s="33" t="s">
        <v>36</v>
      </c>
      <c r="G233" s="5">
        <v>1</v>
      </c>
      <c r="H233" s="5">
        <f t="shared" si="45"/>
        <v>8759380</v>
      </c>
    </row>
    <row r="234" spans="1:8" ht="15.75" customHeight="1" x14ac:dyDescent="0.2">
      <c r="A234" s="124">
        <v>2</v>
      </c>
      <c r="B234" s="128">
        <v>49.4</v>
      </c>
      <c r="C234" s="121">
        <f t="shared" si="44"/>
        <v>171895.54655870446</v>
      </c>
      <c r="D234" s="125">
        <v>8491640</v>
      </c>
      <c r="E234" s="126">
        <v>3</v>
      </c>
      <c r="F234" s="33" t="s">
        <v>36</v>
      </c>
      <c r="G234" s="5">
        <v>1</v>
      </c>
      <c r="H234" s="5">
        <f t="shared" si="45"/>
        <v>8491640</v>
      </c>
    </row>
    <row r="235" spans="1:8" ht="15.75" customHeight="1" x14ac:dyDescent="0.2">
      <c r="A235" s="120">
        <v>2</v>
      </c>
      <c r="B235" s="120">
        <v>49.4</v>
      </c>
      <c r="C235" s="121">
        <f t="shared" si="44"/>
        <v>171895.54655870446</v>
      </c>
      <c r="D235" s="122">
        <v>8491640</v>
      </c>
      <c r="E235" s="120">
        <v>4</v>
      </c>
      <c r="F235" s="33" t="s">
        <v>36</v>
      </c>
      <c r="G235" s="5">
        <v>1</v>
      </c>
      <c r="H235" s="5">
        <f t="shared" si="45"/>
        <v>8491640</v>
      </c>
    </row>
    <row r="236" spans="1:8" ht="15.75" customHeight="1" x14ac:dyDescent="0.2">
      <c r="A236" s="120">
        <v>2</v>
      </c>
      <c r="B236" s="120">
        <v>49.4</v>
      </c>
      <c r="C236" s="121">
        <f t="shared" si="44"/>
        <v>171895.54655870446</v>
      </c>
      <c r="D236" s="122">
        <v>8491640</v>
      </c>
      <c r="E236" s="120">
        <v>4</v>
      </c>
      <c r="F236" s="33" t="s">
        <v>36</v>
      </c>
      <c r="G236" s="5">
        <v>1</v>
      </c>
      <c r="H236" s="5">
        <f t="shared" si="45"/>
        <v>8491640</v>
      </c>
    </row>
    <row r="237" spans="1:8" ht="15.75" customHeight="1" x14ac:dyDescent="0.2">
      <c r="A237" s="120">
        <v>2</v>
      </c>
      <c r="B237" s="120">
        <v>49.4</v>
      </c>
      <c r="C237" s="121">
        <f t="shared" si="44"/>
        <v>174893.72469635628</v>
      </c>
      <c r="D237" s="122">
        <v>8639750</v>
      </c>
      <c r="E237" s="120">
        <v>5</v>
      </c>
      <c r="F237" s="33" t="s">
        <v>36</v>
      </c>
      <c r="G237" s="5">
        <v>1</v>
      </c>
      <c r="H237" s="5">
        <f t="shared" si="45"/>
        <v>8639750</v>
      </c>
    </row>
    <row r="238" spans="1:8" ht="15.75" customHeight="1" x14ac:dyDescent="0.2">
      <c r="A238" s="120">
        <v>2</v>
      </c>
      <c r="B238" s="120">
        <v>49.4</v>
      </c>
      <c r="C238" s="121">
        <f t="shared" si="44"/>
        <v>174893.72469635628</v>
      </c>
      <c r="D238" s="122">
        <v>8639750</v>
      </c>
      <c r="E238" s="120">
        <v>5</v>
      </c>
      <c r="F238" s="33" t="s">
        <v>36</v>
      </c>
      <c r="G238" s="5">
        <v>1</v>
      </c>
      <c r="H238" s="5">
        <f t="shared" si="45"/>
        <v>8639750</v>
      </c>
    </row>
    <row r="239" spans="1:8" ht="15.75" customHeight="1" x14ac:dyDescent="0.2">
      <c r="A239" s="120">
        <v>2</v>
      </c>
      <c r="B239" s="120">
        <v>49.4</v>
      </c>
      <c r="C239" s="121">
        <f t="shared" si="44"/>
        <v>174893.72469635628</v>
      </c>
      <c r="D239" s="122">
        <v>8639750</v>
      </c>
      <c r="E239" s="120">
        <v>7</v>
      </c>
      <c r="F239" s="33" t="s">
        <v>36</v>
      </c>
      <c r="G239" s="5">
        <v>1</v>
      </c>
      <c r="H239" s="5">
        <f t="shared" si="45"/>
        <v>8639750</v>
      </c>
    </row>
    <row r="240" spans="1:8" ht="15.75" customHeight="1" x14ac:dyDescent="0.2">
      <c r="A240" s="120">
        <v>2</v>
      </c>
      <c r="B240" s="120">
        <v>49.4</v>
      </c>
      <c r="C240" s="121">
        <f t="shared" ref="C240" si="48">D240/B240</f>
        <v>174893.72469635628</v>
      </c>
      <c r="D240" s="122">
        <v>8639750</v>
      </c>
      <c r="E240" s="120">
        <v>6</v>
      </c>
      <c r="F240" s="33" t="s">
        <v>36</v>
      </c>
      <c r="G240" s="5">
        <v>1</v>
      </c>
      <c r="H240" s="5">
        <f t="shared" ref="H240" si="49">G240*D240</f>
        <v>8639750</v>
      </c>
    </row>
    <row r="241" spans="1:8" ht="15.75" customHeight="1" x14ac:dyDescent="0.2">
      <c r="A241" s="120">
        <v>2</v>
      </c>
      <c r="B241" s="120">
        <v>49.4</v>
      </c>
      <c r="C241" s="121">
        <f t="shared" si="44"/>
        <v>174893.72469635628</v>
      </c>
      <c r="D241" s="122">
        <v>8639750</v>
      </c>
      <c r="E241" s="120">
        <v>8</v>
      </c>
      <c r="F241" s="33" t="s">
        <v>36</v>
      </c>
      <c r="G241" s="5">
        <v>1</v>
      </c>
      <c r="H241" s="5">
        <f t="shared" si="45"/>
        <v>8639750</v>
      </c>
    </row>
    <row r="242" spans="1:8" ht="15.75" customHeight="1" x14ac:dyDescent="0.2">
      <c r="A242" s="120">
        <v>2</v>
      </c>
      <c r="B242" s="120">
        <v>49.4</v>
      </c>
      <c r="C242" s="121">
        <f t="shared" si="44"/>
        <v>174893.72469635628</v>
      </c>
      <c r="D242" s="122">
        <v>8639750</v>
      </c>
      <c r="E242" s="120">
        <v>7</v>
      </c>
      <c r="F242" s="33" t="s">
        <v>36</v>
      </c>
      <c r="G242" s="5">
        <v>1</v>
      </c>
      <c r="H242" s="5">
        <f t="shared" si="45"/>
        <v>8639750</v>
      </c>
    </row>
    <row r="243" spans="1:8" ht="15.75" customHeight="1" x14ac:dyDescent="0.2">
      <c r="A243" s="120">
        <v>2</v>
      </c>
      <c r="B243" s="120">
        <v>49.4</v>
      </c>
      <c r="C243" s="121">
        <f t="shared" si="44"/>
        <v>174893.72469635628</v>
      </c>
      <c r="D243" s="122">
        <v>8639750</v>
      </c>
      <c r="E243" s="120">
        <v>6</v>
      </c>
      <c r="F243" s="33" t="s">
        <v>36</v>
      </c>
      <c r="G243" s="5">
        <v>1</v>
      </c>
      <c r="H243" s="5">
        <f t="shared" si="45"/>
        <v>8639750</v>
      </c>
    </row>
    <row r="244" spans="1:8" ht="15.75" customHeight="1" x14ac:dyDescent="0.2">
      <c r="A244" s="120">
        <v>2</v>
      </c>
      <c r="B244" s="120">
        <v>49.56</v>
      </c>
      <c r="C244" s="121">
        <f t="shared" si="44"/>
        <v>170000</v>
      </c>
      <c r="D244" s="122">
        <v>8425200</v>
      </c>
      <c r="E244" s="120">
        <v>2</v>
      </c>
      <c r="F244" s="33" t="s">
        <v>36</v>
      </c>
      <c r="G244" s="5">
        <v>1</v>
      </c>
      <c r="H244" s="5">
        <f t="shared" si="45"/>
        <v>8425200</v>
      </c>
    </row>
    <row r="245" spans="1:8" ht="15.75" customHeight="1" x14ac:dyDescent="0.2">
      <c r="A245" s="120">
        <v>2</v>
      </c>
      <c r="B245" s="120">
        <v>49.6</v>
      </c>
      <c r="C245" s="121">
        <f t="shared" si="44"/>
        <v>171861.29032258064</v>
      </c>
      <c r="D245" s="122">
        <v>8524320</v>
      </c>
      <c r="E245" s="120">
        <v>3</v>
      </c>
      <c r="F245" s="33" t="s">
        <v>36</v>
      </c>
      <c r="G245" s="5">
        <v>1</v>
      </c>
      <c r="H245" s="5">
        <f t="shared" si="45"/>
        <v>8524320</v>
      </c>
    </row>
    <row r="246" spans="1:8" ht="15.75" customHeight="1" x14ac:dyDescent="0.2">
      <c r="A246" s="120">
        <v>2</v>
      </c>
      <c r="B246" s="240">
        <v>49.8</v>
      </c>
      <c r="C246" s="121">
        <f t="shared" si="44"/>
        <v>170034.13654618475</v>
      </c>
      <c r="D246" s="122">
        <v>8467700</v>
      </c>
      <c r="E246" s="120">
        <v>2</v>
      </c>
      <c r="F246" s="33" t="s">
        <v>36</v>
      </c>
      <c r="G246" s="5">
        <v>1</v>
      </c>
      <c r="H246" s="5">
        <f t="shared" si="45"/>
        <v>8467700</v>
      </c>
    </row>
    <row r="247" spans="1:8" ht="15.75" customHeight="1" x14ac:dyDescent="0.2">
      <c r="A247" s="127">
        <v>2</v>
      </c>
      <c r="B247" s="128">
        <v>55.4</v>
      </c>
      <c r="C247" s="25">
        <f t="shared" si="44"/>
        <v>189965.70397111913</v>
      </c>
      <c r="D247" s="6">
        <v>10524100</v>
      </c>
      <c r="E247" s="128">
        <v>14</v>
      </c>
      <c r="F247" s="33" t="s">
        <v>36</v>
      </c>
      <c r="G247" s="5">
        <v>1</v>
      </c>
      <c r="H247" s="5">
        <f t="shared" si="45"/>
        <v>10524100</v>
      </c>
    </row>
    <row r="248" spans="1:8" ht="15.75" customHeight="1" x14ac:dyDescent="0.2">
      <c r="A248" s="127">
        <v>2</v>
      </c>
      <c r="B248" s="128">
        <v>55.4</v>
      </c>
      <c r="C248" s="25">
        <f t="shared" si="44"/>
        <v>189965.70397111913</v>
      </c>
      <c r="D248" s="6">
        <v>10524100</v>
      </c>
      <c r="E248" s="128">
        <v>15</v>
      </c>
      <c r="F248" s="33" t="s">
        <v>36</v>
      </c>
      <c r="G248" s="5">
        <v>1</v>
      </c>
      <c r="H248" s="5">
        <f t="shared" si="45"/>
        <v>10524100</v>
      </c>
    </row>
    <row r="249" spans="1:8" ht="15.75" customHeight="1" x14ac:dyDescent="0.2">
      <c r="A249" s="127">
        <v>2</v>
      </c>
      <c r="B249" s="128">
        <v>55.4</v>
      </c>
      <c r="C249" s="25">
        <f t="shared" si="44"/>
        <v>189965.70397111913</v>
      </c>
      <c r="D249" s="6">
        <v>10524100</v>
      </c>
      <c r="E249" s="128">
        <v>17</v>
      </c>
      <c r="F249" s="33" t="s">
        <v>36</v>
      </c>
      <c r="G249" s="5">
        <v>1</v>
      </c>
      <c r="H249" s="5">
        <f t="shared" si="45"/>
        <v>10524100</v>
      </c>
    </row>
    <row r="250" spans="1:8" ht="15.75" customHeight="1" x14ac:dyDescent="0.2">
      <c r="A250" s="127">
        <v>2</v>
      </c>
      <c r="B250" s="128">
        <v>55.4</v>
      </c>
      <c r="C250" s="25">
        <f t="shared" si="44"/>
        <v>189965.70397111913</v>
      </c>
      <c r="D250" s="6">
        <v>10524100</v>
      </c>
      <c r="E250" s="128">
        <v>16</v>
      </c>
      <c r="F250" s="33" t="s">
        <v>36</v>
      </c>
      <c r="G250" s="5">
        <v>1</v>
      </c>
      <c r="H250" s="5">
        <f t="shared" si="45"/>
        <v>10524100</v>
      </c>
    </row>
    <row r="251" spans="1:8" ht="15.75" customHeight="1" x14ac:dyDescent="0.2">
      <c r="A251" s="127">
        <v>2</v>
      </c>
      <c r="B251" s="128">
        <v>55.5</v>
      </c>
      <c r="C251" s="25">
        <f t="shared" si="44"/>
        <v>186446.12612612612</v>
      </c>
      <c r="D251" s="6">
        <v>10347760</v>
      </c>
      <c r="E251" s="128">
        <v>12</v>
      </c>
      <c r="F251" s="33" t="s">
        <v>36</v>
      </c>
      <c r="G251" s="5">
        <v>1</v>
      </c>
      <c r="H251" s="5">
        <f t="shared" si="45"/>
        <v>10347760</v>
      </c>
    </row>
    <row r="252" spans="1:8" ht="15.75" customHeight="1" x14ac:dyDescent="0.2">
      <c r="A252" s="127">
        <v>2</v>
      </c>
      <c r="B252" s="128">
        <v>55.5</v>
      </c>
      <c r="C252" s="25">
        <f t="shared" si="44"/>
        <v>186932.6126126126</v>
      </c>
      <c r="D252" s="6">
        <v>10374760</v>
      </c>
      <c r="E252" s="128">
        <v>11</v>
      </c>
      <c r="F252" s="33" t="s">
        <v>36</v>
      </c>
      <c r="G252" s="5">
        <v>1</v>
      </c>
      <c r="H252" s="5">
        <f t="shared" si="45"/>
        <v>10374760</v>
      </c>
    </row>
    <row r="253" spans="1:8" ht="15.75" customHeight="1" x14ac:dyDescent="0.2">
      <c r="A253" s="127">
        <v>2</v>
      </c>
      <c r="B253" s="128">
        <v>55.5</v>
      </c>
      <c r="C253" s="25">
        <f t="shared" ref="C253" si="50">D253/B253</f>
        <v>186932.6126126126</v>
      </c>
      <c r="D253" s="6">
        <v>10374760</v>
      </c>
      <c r="E253" s="128">
        <v>13</v>
      </c>
      <c r="F253" s="33" t="s">
        <v>36</v>
      </c>
      <c r="G253" s="5">
        <v>1</v>
      </c>
      <c r="H253" s="5">
        <f t="shared" ref="H253" si="51">G253*D253</f>
        <v>10374760</v>
      </c>
    </row>
    <row r="254" spans="1:8" ht="15.75" customHeight="1" x14ac:dyDescent="0.2">
      <c r="A254" s="127">
        <v>2</v>
      </c>
      <c r="B254" s="128">
        <v>55.6</v>
      </c>
      <c r="C254" s="25">
        <f t="shared" si="44"/>
        <v>186966.36690647481</v>
      </c>
      <c r="D254" s="6">
        <v>10395330</v>
      </c>
      <c r="E254" s="128">
        <v>13</v>
      </c>
      <c r="F254" s="33" t="s">
        <v>36</v>
      </c>
      <c r="G254" s="5">
        <v>1</v>
      </c>
      <c r="H254" s="5">
        <f t="shared" si="45"/>
        <v>10395330</v>
      </c>
    </row>
    <row r="255" spans="1:8" ht="15.75" customHeight="1" x14ac:dyDescent="0.2">
      <c r="A255" s="127">
        <v>2</v>
      </c>
      <c r="B255" s="128">
        <v>55.6</v>
      </c>
      <c r="C255" s="25">
        <f t="shared" si="44"/>
        <v>189965.82733812949</v>
      </c>
      <c r="D255" s="6">
        <v>10562100</v>
      </c>
      <c r="E255" s="128">
        <v>14</v>
      </c>
      <c r="F255" s="33" t="s">
        <v>36</v>
      </c>
      <c r="G255" s="5">
        <v>1</v>
      </c>
      <c r="H255" s="5">
        <f t="shared" si="45"/>
        <v>10562100</v>
      </c>
    </row>
    <row r="256" spans="1:8" ht="15.75" customHeight="1" x14ac:dyDescent="0.2">
      <c r="A256" s="127">
        <v>2</v>
      </c>
      <c r="B256" s="128">
        <v>55.6</v>
      </c>
      <c r="C256" s="25">
        <f t="shared" ref="C256" si="52">D256/B256</f>
        <v>189965.82733812949</v>
      </c>
      <c r="D256" s="6">
        <v>10562100</v>
      </c>
      <c r="E256" s="128">
        <v>15</v>
      </c>
      <c r="F256" s="33" t="s">
        <v>36</v>
      </c>
      <c r="G256" s="5">
        <v>1</v>
      </c>
      <c r="H256" s="5">
        <f t="shared" ref="H256" si="53">G256*D256</f>
        <v>10562100</v>
      </c>
    </row>
    <row r="257" spans="1:8" ht="15.75" customHeight="1" x14ac:dyDescent="0.2">
      <c r="A257" s="127">
        <v>2</v>
      </c>
      <c r="B257" s="128">
        <v>55.6</v>
      </c>
      <c r="C257" s="25">
        <f t="shared" ref="C257" si="54">D257/B257</f>
        <v>189965.82733812949</v>
      </c>
      <c r="D257" s="6">
        <v>10562100</v>
      </c>
      <c r="E257" s="128">
        <v>16</v>
      </c>
      <c r="F257" s="33" t="s">
        <v>36</v>
      </c>
      <c r="G257" s="5">
        <v>1</v>
      </c>
      <c r="H257" s="5">
        <f t="shared" ref="H257" si="55">G257*D257</f>
        <v>10562100</v>
      </c>
    </row>
    <row r="258" spans="1:8" ht="15.75" customHeight="1" x14ac:dyDescent="0.2">
      <c r="A258" s="127">
        <v>2</v>
      </c>
      <c r="B258" s="128">
        <v>55.6</v>
      </c>
      <c r="C258" s="25">
        <f t="shared" si="44"/>
        <v>184900.17985611511</v>
      </c>
      <c r="D258" s="6">
        <v>10280450</v>
      </c>
      <c r="E258" s="128">
        <v>9</v>
      </c>
      <c r="F258" s="33" t="s">
        <v>36</v>
      </c>
      <c r="G258" s="5">
        <v>1</v>
      </c>
      <c r="H258" s="5">
        <f t="shared" si="45"/>
        <v>10280450</v>
      </c>
    </row>
    <row r="259" spans="1:8" ht="15.75" customHeight="1" x14ac:dyDescent="0.2">
      <c r="A259" s="127">
        <v>2</v>
      </c>
      <c r="B259" s="128">
        <v>55.6</v>
      </c>
      <c r="C259" s="25">
        <f t="shared" si="44"/>
        <v>186899.10071942446</v>
      </c>
      <c r="D259" s="6">
        <v>10391590</v>
      </c>
      <c r="E259" s="128">
        <v>10</v>
      </c>
      <c r="F259" s="33" t="s">
        <v>36</v>
      </c>
      <c r="G259" s="5">
        <v>1</v>
      </c>
      <c r="H259" s="5">
        <f t="shared" si="45"/>
        <v>10391590</v>
      </c>
    </row>
    <row r="260" spans="1:8" ht="15.75" customHeight="1" x14ac:dyDescent="0.2">
      <c r="A260" s="127">
        <v>2</v>
      </c>
      <c r="B260" s="128">
        <v>55.6</v>
      </c>
      <c r="C260" s="25">
        <f t="shared" si="44"/>
        <v>189965.82733812949</v>
      </c>
      <c r="D260" s="6">
        <v>10562100</v>
      </c>
      <c r="E260" s="128">
        <v>17</v>
      </c>
      <c r="F260" s="33" t="s">
        <v>36</v>
      </c>
      <c r="G260" s="5">
        <v>1</v>
      </c>
      <c r="H260" s="5">
        <f t="shared" si="45"/>
        <v>10562100</v>
      </c>
    </row>
    <row r="261" spans="1:8" ht="15.75" customHeight="1" x14ac:dyDescent="0.2">
      <c r="A261" s="127">
        <v>2</v>
      </c>
      <c r="B261" s="128">
        <v>55.7</v>
      </c>
      <c r="C261" s="25">
        <f t="shared" si="44"/>
        <v>182098.02513464991</v>
      </c>
      <c r="D261" s="6">
        <v>10142860</v>
      </c>
      <c r="E261" s="128">
        <v>3</v>
      </c>
      <c r="F261" s="33" t="s">
        <v>36</v>
      </c>
      <c r="G261" s="5">
        <v>1</v>
      </c>
      <c r="H261" s="5">
        <f t="shared" si="45"/>
        <v>10142860</v>
      </c>
    </row>
    <row r="262" spans="1:8" ht="15.75" customHeight="1" x14ac:dyDescent="0.2">
      <c r="A262" s="127">
        <v>2</v>
      </c>
      <c r="B262" s="128">
        <v>55.7</v>
      </c>
      <c r="C262" s="25">
        <f t="shared" si="44"/>
        <v>183098.56373429083</v>
      </c>
      <c r="D262" s="6">
        <v>10198590</v>
      </c>
      <c r="E262" s="128">
        <v>4</v>
      </c>
      <c r="F262" s="33" t="s">
        <v>36</v>
      </c>
      <c r="G262" s="5">
        <v>1</v>
      </c>
      <c r="H262" s="5">
        <f t="shared" si="45"/>
        <v>10198590</v>
      </c>
    </row>
    <row r="263" spans="1:8" ht="15.75" customHeight="1" x14ac:dyDescent="0.2">
      <c r="A263" s="127">
        <v>2</v>
      </c>
      <c r="B263" s="128">
        <v>55.7</v>
      </c>
      <c r="C263" s="25">
        <f t="shared" si="44"/>
        <v>185099.64093357269</v>
      </c>
      <c r="D263" s="6">
        <v>10310050</v>
      </c>
      <c r="E263" s="128">
        <v>7</v>
      </c>
      <c r="F263" s="33" t="s">
        <v>36</v>
      </c>
      <c r="G263" s="5">
        <v>1</v>
      </c>
      <c r="H263" s="5">
        <f t="shared" si="45"/>
        <v>10310050</v>
      </c>
    </row>
    <row r="264" spans="1:8" ht="15.75" customHeight="1" x14ac:dyDescent="0.2">
      <c r="A264" s="127">
        <v>2</v>
      </c>
      <c r="B264" s="128">
        <v>55.7</v>
      </c>
      <c r="C264" s="25">
        <f t="shared" si="44"/>
        <v>185099.64093357269</v>
      </c>
      <c r="D264" s="6">
        <v>10310050</v>
      </c>
      <c r="E264" s="128">
        <v>5</v>
      </c>
      <c r="F264" s="33" t="s">
        <v>36</v>
      </c>
      <c r="G264" s="5">
        <v>1</v>
      </c>
      <c r="H264" s="5">
        <f t="shared" si="45"/>
        <v>10310050</v>
      </c>
    </row>
    <row r="265" spans="1:8" ht="15.75" customHeight="1" x14ac:dyDescent="0.2">
      <c r="A265" s="127">
        <v>2</v>
      </c>
      <c r="B265" s="128">
        <v>55.7</v>
      </c>
      <c r="C265" s="25">
        <f t="shared" si="44"/>
        <v>185099.64093357269</v>
      </c>
      <c r="D265" s="6">
        <v>10310050</v>
      </c>
      <c r="E265" s="128">
        <v>8</v>
      </c>
      <c r="F265" s="33" t="s">
        <v>36</v>
      </c>
      <c r="G265" s="5">
        <v>1</v>
      </c>
      <c r="H265" s="5">
        <f t="shared" si="45"/>
        <v>10310050</v>
      </c>
    </row>
    <row r="266" spans="1:8" ht="15.75" customHeight="1" x14ac:dyDescent="0.2">
      <c r="A266" s="127">
        <v>2</v>
      </c>
      <c r="B266" s="128">
        <v>55.7</v>
      </c>
      <c r="C266" s="25">
        <f t="shared" si="44"/>
        <v>185099.64093357269</v>
      </c>
      <c r="D266" s="6">
        <v>10310050</v>
      </c>
      <c r="E266" s="128">
        <v>6</v>
      </c>
      <c r="F266" s="33" t="s">
        <v>36</v>
      </c>
      <c r="G266" s="5">
        <v>1</v>
      </c>
      <c r="H266" s="5">
        <f t="shared" si="45"/>
        <v>10310050</v>
      </c>
    </row>
    <row r="267" spans="1:8" ht="15.75" customHeight="1" x14ac:dyDescent="0.2">
      <c r="A267" s="127">
        <v>2</v>
      </c>
      <c r="B267" s="128">
        <v>55.7</v>
      </c>
      <c r="C267" s="25">
        <f t="shared" si="44"/>
        <v>186932.85457809694</v>
      </c>
      <c r="D267" s="6">
        <v>10412160</v>
      </c>
      <c r="E267" s="128">
        <v>12</v>
      </c>
      <c r="F267" s="33" t="s">
        <v>36</v>
      </c>
      <c r="G267" s="5">
        <v>1</v>
      </c>
      <c r="H267" s="5">
        <f t="shared" si="45"/>
        <v>10412160</v>
      </c>
    </row>
    <row r="268" spans="1:8" ht="15.75" customHeight="1" x14ac:dyDescent="0.2">
      <c r="A268" s="127">
        <v>2</v>
      </c>
      <c r="B268" s="128">
        <v>55.7</v>
      </c>
      <c r="C268" s="25">
        <f t="shared" si="44"/>
        <v>186932.85457809694</v>
      </c>
      <c r="D268" s="6">
        <v>10412160</v>
      </c>
      <c r="E268" s="128">
        <v>11</v>
      </c>
      <c r="F268" s="33" t="s">
        <v>36</v>
      </c>
      <c r="G268" s="5">
        <v>1</v>
      </c>
      <c r="H268" s="5">
        <f t="shared" si="45"/>
        <v>10412160</v>
      </c>
    </row>
    <row r="269" spans="1:8" ht="15.75" customHeight="1" x14ac:dyDescent="0.2">
      <c r="A269" s="127">
        <v>2</v>
      </c>
      <c r="B269" s="128">
        <v>55.7</v>
      </c>
      <c r="C269" s="25">
        <f t="shared" si="44"/>
        <v>186932.85457809694</v>
      </c>
      <c r="D269" s="6">
        <v>10412160</v>
      </c>
      <c r="E269" s="128">
        <v>10</v>
      </c>
      <c r="F269" s="33" t="s">
        <v>36</v>
      </c>
      <c r="G269" s="5">
        <v>1</v>
      </c>
      <c r="H269" s="5">
        <f t="shared" si="45"/>
        <v>10412160</v>
      </c>
    </row>
    <row r="270" spans="1:8" ht="15.75" customHeight="1" x14ac:dyDescent="0.2">
      <c r="A270" s="127">
        <v>2</v>
      </c>
      <c r="B270" s="128">
        <v>55.77</v>
      </c>
      <c r="C270" s="25">
        <f t="shared" si="44"/>
        <v>185000</v>
      </c>
      <c r="D270" s="6">
        <v>10317450</v>
      </c>
      <c r="E270" s="128">
        <v>8</v>
      </c>
      <c r="F270" s="33" t="s">
        <v>36</v>
      </c>
      <c r="G270" s="5">
        <v>1</v>
      </c>
      <c r="H270" s="5">
        <f t="shared" si="45"/>
        <v>10317450</v>
      </c>
    </row>
    <row r="271" spans="1:8" ht="15.75" customHeight="1" x14ac:dyDescent="0.2">
      <c r="A271" s="127">
        <v>2</v>
      </c>
      <c r="B271" s="128">
        <v>55.77</v>
      </c>
      <c r="C271" s="25">
        <f t="shared" si="44"/>
        <v>185000</v>
      </c>
      <c r="D271" s="6">
        <v>10317450</v>
      </c>
      <c r="E271" s="128">
        <v>9</v>
      </c>
      <c r="F271" s="33" t="s">
        <v>36</v>
      </c>
      <c r="G271" s="5">
        <v>1</v>
      </c>
      <c r="H271" s="5">
        <f t="shared" si="45"/>
        <v>10317450</v>
      </c>
    </row>
    <row r="272" spans="1:8" ht="15.75" customHeight="1" x14ac:dyDescent="0.2">
      <c r="A272" s="127">
        <v>2</v>
      </c>
      <c r="B272" s="128">
        <v>55.9</v>
      </c>
      <c r="C272" s="25">
        <f t="shared" si="44"/>
        <v>179967.79964221825</v>
      </c>
      <c r="D272" s="6">
        <v>10060200</v>
      </c>
      <c r="E272" s="128">
        <v>2</v>
      </c>
      <c r="F272" s="33" t="s">
        <v>36</v>
      </c>
      <c r="G272" s="5">
        <v>1</v>
      </c>
      <c r="H272" s="5">
        <f t="shared" si="45"/>
        <v>10060200</v>
      </c>
    </row>
    <row r="273" spans="1:8" ht="15.75" customHeight="1" x14ac:dyDescent="0.2">
      <c r="A273" s="127">
        <v>2</v>
      </c>
      <c r="B273" s="128">
        <v>55.9</v>
      </c>
      <c r="C273" s="25">
        <f t="shared" ref="C273" si="56">D273/B273</f>
        <v>185066.18962432916</v>
      </c>
      <c r="D273" s="6">
        <v>10345200</v>
      </c>
      <c r="E273" s="128">
        <v>5</v>
      </c>
      <c r="F273" s="33" t="s">
        <v>36</v>
      </c>
      <c r="G273" s="5">
        <v>1</v>
      </c>
      <c r="H273" s="5">
        <f t="shared" ref="H273" si="57">G273*D273</f>
        <v>10345200</v>
      </c>
    </row>
    <row r="274" spans="1:8" ht="15.75" customHeight="1" x14ac:dyDescent="0.2">
      <c r="A274" s="127">
        <v>2</v>
      </c>
      <c r="B274" s="128">
        <v>55.9</v>
      </c>
      <c r="C274" s="25">
        <f t="shared" ref="C274" si="58">D274/B274</f>
        <v>185066.18962432916</v>
      </c>
      <c r="D274" s="6">
        <v>10345200</v>
      </c>
      <c r="E274" s="128">
        <v>6</v>
      </c>
      <c r="F274" s="33" t="s">
        <v>36</v>
      </c>
      <c r="G274" s="5">
        <v>1</v>
      </c>
      <c r="H274" s="5">
        <f t="shared" ref="H274" si="59">G274*D274</f>
        <v>10345200</v>
      </c>
    </row>
    <row r="275" spans="1:8" ht="15.75" customHeight="1" x14ac:dyDescent="0.2">
      <c r="A275" s="127">
        <v>2</v>
      </c>
      <c r="B275" s="128">
        <v>55.9</v>
      </c>
      <c r="C275" s="25">
        <f t="shared" ref="C275" si="60">D275/B275</f>
        <v>183065.47406082289</v>
      </c>
      <c r="D275" s="6">
        <v>10233360</v>
      </c>
      <c r="E275" s="128">
        <v>4</v>
      </c>
      <c r="F275" s="33" t="s">
        <v>36</v>
      </c>
      <c r="G275" s="5">
        <v>1</v>
      </c>
      <c r="H275" s="5">
        <f t="shared" ref="H275" si="61">G275*D275</f>
        <v>10233360</v>
      </c>
    </row>
    <row r="276" spans="1:8" ht="15.75" customHeight="1" x14ac:dyDescent="0.2">
      <c r="A276" s="127">
        <v>2</v>
      </c>
      <c r="B276" s="128">
        <v>55.9</v>
      </c>
      <c r="C276" s="25">
        <f t="shared" ref="C276" si="62">D276/B276</f>
        <v>185066.18962432916</v>
      </c>
      <c r="D276" s="6">
        <v>10345200</v>
      </c>
      <c r="E276" s="128">
        <v>7</v>
      </c>
      <c r="F276" s="33" t="s">
        <v>36</v>
      </c>
      <c r="G276" s="5">
        <v>1</v>
      </c>
      <c r="H276" s="5">
        <f t="shared" ref="H276" si="63">G276*D276</f>
        <v>10345200</v>
      </c>
    </row>
    <row r="277" spans="1:8" ht="15.75" customHeight="1" x14ac:dyDescent="0.2">
      <c r="A277" s="127">
        <v>2</v>
      </c>
      <c r="B277" s="128">
        <v>55.9</v>
      </c>
      <c r="C277" s="25">
        <f t="shared" si="44"/>
        <v>182065.11627906977</v>
      </c>
      <c r="D277" s="6">
        <v>10177440</v>
      </c>
      <c r="E277" s="128">
        <v>3</v>
      </c>
      <c r="F277" s="33" t="s">
        <v>36</v>
      </c>
      <c r="G277" s="5">
        <v>1</v>
      </c>
      <c r="H277" s="5">
        <f t="shared" si="45"/>
        <v>10177440</v>
      </c>
    </row>
    <row r="278" spans="1:8" ht="15.75" customHeight="1" x14ac:dyDescent="0.2">
      <c r="A278" s="127">
        <v>2</v>
      </c>
      <c r="B278" s="128">
        <v>56.08</v>
      </c>
      <c r="C278" s="25">
        <f t="shared" si="44"/>
        <v>180000</v>
      </c>
      <c r="D278" s="6">
        <v>10094400</v>
      </c>
      <c r="E278" s="128">
        <v>2</v>
      </c>
      <c r="F278" s="33" t="s">
        <v>36</v>
      </c>
      <c r="G278" s="5">
        <v>1</v>
      </c>
      <c r="H278" s="5">
        <f t="shared" si="45"/>
        <v>10094400</v>
      </c>
    </row>
    <row r="279" spans="1:8" ht="15.75" customHeight="1" x14ac:dyDescent="0.2">
      <c r="A279" s="127">
        <v>2</v>
      </c>
      <c r="B279" s="128">
        <v>60.7</v>
      </c>
      <c r="C279" s="25">
        <f t="shared" si="44"/>
        <v>173971.33443163097</v>
      </c>
      <c r="D279" s="6">
        <v>10560060</v>
      </c>
      <c r="E279" s="128">
        <v>15</v>
      </c>
      <c r="F279" s="33" t="s">
        <v>36</v>
      </c>
      <c r="G279" s="5">
        <v>1</v>
      </c>
      <c r="H279" s="5">
        <f t="shared" si="45"/>
        <v>10560060</v>
      </c>
    </row>
    <row r="280" spans="1:8" ht="15.75" customHeight="1" x14ac:dyDescent="0.2">
      <c r="A280" s="127">
        <v>2</v>
      </c>
      <c r="B280" s="128">
        <v>60.7</v>
      </c>
      <c r="C280" s="25">
        <f t="shared" si="44"/>
        <v>175971.00494233938</v>
      </c>
      <c r="D280" s="6">
        <v>10681440</v>
      </c>
      <c r="E280" s="128">
        <v>16</v>
      </c>
      <c r="F280" s="33" t="s">
        <v>36</v>
      </c>
      <c r="G280" s="5">
        <v>1</v>
      </c>
      <c r="H280" s="5">
        <f t="shared" si="45"/>
        <v>10681440</v>
      </c>
    </row>
    <row r="281" spans="1:8" ht="15.75" customHeight="1" x14ac:dyDescent="0.2">
      <c r="A281" s="127">
        <v>2</v>
      </c>
      <c r="B281" s="128">
        <v>60.7</v>
      </c>
      <c r="C281" s="25">
        <f t="shared" si="44"/>
        <v>177970.67545304776</v>
      </c>
      <c r="D281" s="6">
        <v>10802820</v>
      </c>
      <c r="E281" s="128">
        <v>14</v>
      </c>
      <c r="F281" s="33" t="s">
        <v>36</v>
      </c>
      <c r="G281" s="5">
        <v>1</v>
      </c>
      <c r="H281" s="5">
        <f t="shared" si="45"/>
        <v>10802820</v>
      </c>
    </row>
    <row r="282" spans="1:8" ht="15.75" customHeight="1" x14ac:dyDescent="0.2">
      <c r="A282" s="127">
        <v>2</v>
      </c>
      <c r="B282" s="128">
        <v>60.7</v>
      </c>
      <c r="C282" s="25">
        <f t="shared" si="44"/>
        <v>177970.67545304776</v>
      </c>
      <c r="D282" s="6">
        <v>10802820</v>
      </c>
      <c r="E282" s="128">
        <v>17</v>
      </c>
      <c r="F282" s="33" t="s">
        <v>36</v>
      </c>
      <c r="G282" s="5">
        <v>1</v>
      </c>
      <c r="H282" s="5">
        <f t="shared" si="45"/>
        <v>10802820</v>
      </c>
    </row>
    <row r="283" spans="1:8" ht="15.75" customHeight="1" x14ac:dyDescent="0.2">
      <c r="A283" s="127">
        <v>2</v>
      </c>
      <c r="B283" s="128">
        <v>60.8</v>
      </c>
      <c r="C283" s="25">
        <f t="shared" si="44"/>
        <v>172914.63815789475</v>
      </c>
      <c r="D283" s="6">
        <v>10513210</v>
      </c>
      <c r="E283" s="128">
        <v>12</v>
      </c>
      <c r="F283" s="33" t="s">
        <v>36</v>
      </c>
      <c r="G283" s="5">
        <v>1</v>
      </c>
      <c r="H283" s="5">
        <f t="shared" si="45"/>
        <v>10513210</v>
      </c>
    </row>
    <row r="284" spans="1:8" ht="15.75" customHeight="1" x14ac:dyDescent="0.2">
      <c r="A284" s="127">
        <v>2</v>
      </c>
      <c r="B284" s="128">
        <v>60.8</v>
      </c>
      <c r="C284" s="25">
        <f t="shared" si="44"/>
        <v>172914.63815789475</v>
      </c>
      <c r="D284" s="6">
        <v>10513210</v>
      </c>
      <c r="E284" s="128">
        <v>11</v>
      </c>
      <c r="F284" s="33" t="s">
        <v>36</v>
      </c>
      <c r="G284" s="5">
        <v>1</v>
      </c>
      <c r="H284" s="5">
        <f t="shared" si="45"/>
        <v>10513210</v>
      </c>
    </row>
    <row r="285" spans="1:8" ht="15.75" customHeight="1" x14ac:dyDescent="0.2">
      <c r="A285" s="127">
        <v>2</v>
      </c>
      <c r="B285" s="128">
        <v>60.8</v>
      </c>
      <c r="C285" s="25">
        <f t="shared" ref="C285" si="64">D285/B285</f>
        <v>177912.17105263157</v>
      </c>
      <c r="D285" s="6">
        <v>10817060</v>
      </c>
      <c r="E285" s="128">
        <v>13</v>
      </c>
      <c r="F285" s="33" t="s">
        <v>36</v>
      </c>
      <c r="G285" s="5">
        <v>1</v>
      </c>
      <c r="H285" s="5">
        <f t="shared" ref="H285" si="65">G285*D285</f>
        <v>10817060</v>
      </c>
    </row>
    <row r="286" spans="1:8" ht="15.75" customHeight="1" x14ac:dyDescent="0.2">
      <c r="A286" s="127">
        <v>2</v>
      </c>
      <c r="B286" s="128">
        <v>60.9</v>
      </c>
      <c r="C286" s="25">
        <f t="shared" si="44"/>
        <v>173942.85714285716</v>
      </c>
      <c r="D286" s="6">
        <v>10593120</v>
      </c>
      <c r="E286" s="128">
        <v>13</v>
      </c>
      <c r="F286" s="33" t="s">
        <v>36</v>
      </c>
      <c r="G286" s="5">
        <v>1</v>
      </c>
      <c r="H286" s="5">
        <f t="shared" si="45"/>
        <v>10593120</v>
      </c>
    </row>
    <row r="287" spans="1:8" ht="15.75" customHeight="1" x14ac:dyDescent="0.2">
      <c r="A287" s="127">
        <v>2</v>
      </c>
      <c r="B287" s="128">
        <v>60.9</v>
      </c>
      <c r="C287" s="25">
        <f t="shared" si="44"/>
        <v>169916.25615763548</v>
      </c>
      <c r="D287" s="6">
        <v>10347900</v>
      </c>
      <c r="E287" s="128">
        <v>9</v>
      </c>
      <c r="F287" s="33" t="s">
        <v>36</v>
      </c>
      <c r="G287" s="5">
        <v>1</v>
      </c>
      <c r="H287" s="5">
        <f t="shared" si="45"/>
        <v>10347900</v>
      </c>
    </row>
    <row r="288" spans="1:8" ht="15.75" customHeight="1" x14ac:dyDescent="0.2">
      <c r="A288" s="127">
        <v>2</v>
      </c>
      <c r="B288" s="128">
        <v>60.9</v>
      </c>
      <c r="C288" s="25">
        <f t="shared" si="44"/>
        <v>172914.77832512316</v>
      </c>
      <c r="D288" s="6">
        <v>10530510</v>
      </c>
      <c r="E288" s="128">
        <v>10</v>
      </c>
      <c r="F288" s="33" t="s">
        <v>36</v>
      </c>
      <c r="G288" s="5">
        <v>1</v>
      </c>
      <c r="H288" s="5">
        <f t="shared" si="45"/>
        <v>10530510</v>
      </c>
    </row>
    <row r="289" spans="1:8" ht="15.75" customHeight="1" x14ac:dyDescent="0.2">
      <c r="A289" s="127">
        <v>2</v>
      </c>
      <c r="B289" s="128">
        <v>60.9</v>
      </c>
      <c r="C289" s="25">
        <f t="shared" si="44"/>
        <v>176941.87192118226</v>
      </c>
      <c r="D289" s="6">
        <v>10775760</v>
      </c>
      <c r="E289" s="128">
        <v>14</v>
      </c>
      <c r="F289" s="33" t="s">
        <v>36</v>
      </c>
      <c r="G289" s="5">
        <v>1</v>
      </c>
      <c r="H289" s="5">
        <f t="shared" si="45"/>
        <v>10775760</v>
      </c>
    </row>
    <row r="290" spans="1:8" ht="15.75" customHeight="1" x14ac:dyDescent="0.2">
      <c r="A290" s="127">
        <v>2</v>
      </c>
      <c r="B290" s="128">
        <v>60.9</v>
      </c>
      <c r="C290" s="25">
        <f t="shared" ref="C290" si="66">D290/B290</f>
        <v>176941.87192118226</v>
      </c>
      <c r="D290" s="6">
        <v>10775760</v>
      </c>
      <c r="E290" s="128">
        <v>15</v>
      </c>
      <c r="F290" s="33" t="s">
        <v>36</v>
      </c>
      <c r="G290" s="5">
        <v>1</v>
      </c>
      <c r="H290" s="5">
        <f t="shared" ref="H290" si="67">G290*D290</f>
        <v>10775760</v>
      </c>
    </row>
    <row r="291" spans="1:8" ht="15.75" customHeight="1" x14ac:dyDescent="0.2">
      <c r="A291" s="127">
        <v>2</v>
      </c>
      <c r="B291" s="128">
        <v>60.9</v>
      </c>
      <c r="C291" s="25">
        <f t="shared" ref="C291" si="68">D291/B291</f>
        <v>177941.54351395732</v>
      </c>
      <c r="D291" s="6">
        <v>10836640</v>
      </c>
      <c r="E291" s="128">
        <v>16</v>
      </c>
      <c r="F291" s="33" t="s">
        <v>36</v>
      </c>
      <c r="G291" s="5">
        <v>1</v>
      </c>
      <c r="H291" s="5">
        <f t="shared" ref="H291" si="69">G291*D291</f>
        <v>10836640</v>
      </c>
    </row>
    <row r="292" spans="1:8" ht="15.75" customHeight="1" x14ac:dyDescent="0.2">
      <c r="A292" s="127">
        <v>2</v>
      </c>
      <c r="B292" s="128">
        <v>60.9</v>
      </c>
      <c r="C292" s="25">
        <f t="shared" si="44"/>
        <v>179940.88669950739</v>
      </c>
      <c r="D292" s="6">
        <v>10958400</v>
      </c>
      <c r="E292" s="128">
        <v>17</v>
      </c>
      <c r="F292" s="33" t="s">
        <v>36</v>
      </c>
      <c r="G292" s="5">
        <v>1</v>
      </c>
      <c r="H292" s="5">
        <f t="shared" si="45"/>
        <v>10958400</v>
      </c>
    </row>
    <row r="293" spans="1:8" ht="15.75" customHeight="1" x14ac:dyDescent="0.2">
      <c r="A293" s="127">
        <v>2</v>
      </c>
      <c r="B293" s="128">
        <v>61</v>
      </c>
      <c r="C293" s="25">
        <f t="shared" si="44"/>
        <v>165054.09836065574</v>
      </c>
      <c r="D293" s="6">
        <v>10068300</v>
      </c>
      <c r="E293" s="128">
        <v>4</v>
      </c>
      <c r="F293" s="33" t="s">
        <v>36</v>
      </c>
      <c r="G293" s="5">
        <v>1</v>
      </c>
      <c r="H293" s="5">
        <f t="shared" si="45"/>
        <v>10068300</v>
      </c>
    </row>
    <row r="294" spans="1:8" ht="15.75" customHeight="1" x14ac:dyDescent="0.2">
      <c r="A294" s="127">
        <v>2</v>
      </c>
      <c r="B294" s="128">
        <v>61</v>
      </c>
      <c r="C294" s="25">
        <f t="shared" si="44"/>
        <v>167054.75409836066</v>
      </c>
      <c r="D294" s="6">
        <v>10190340</v>
      </c>
      <c r="E294" s="128">
        <v>5</v>
      </c>
      <c r="F294" s="33" t="s">
        <v>36</v>
      </c>
      <c r="G294" s="5">
        <v>1</v>
      </c>
      <c r="H294" s="5">
        <f t="shared" si="45"/>
        <v>10190340</v>
      </c>
    </row>
    <row r="295" spans="1:8" ht="15.75" customHeight="1" x14ac:dyDescent="0.2">
      <c r="A295" s="127">
        <v>2</v>
      </c>
      <c r="B295" s="128">
        <v>61</v>
      </c>
      <c r="C295" s="25">
        <f t="shared" si="44"/>
        <v>165726.88524590165</v>
      </c>
      <c r="D295" s="6">
        <v>10109340</v>
      </c>
      <c r="E295" s="128">
        <v>6</v>
      </c>
      <c r="F295" s="33" t="s">
        <v>36</v>
      </c>
      <c r="G295" s="5">
        <v>1</v>
      </c>
      <c r="H295" s="5">
        <f t="shared" si="45"/>
        <v>10109340</v>
      </c>
    </row>
    <row r="296" spans="1:8" ht="15.75" customHeight="1" x14ac:dyDescent="0.2">
      <c r="A296" s="127">
        <v>2</v>
      </c>
      <c r="B296" s="128">
        <v>61</v>
      </c>
      <c r="C296" s="25">
        <f t="shared" si="44"/>
        <v>167054.75409836066</v>
      </c>
      <c r="D296" s="6">
        <v>10190340</v>
      </c>
      <c r="E296" s="128">
        <v>7</v>
      </c>
      <c r="F296" s="33" t="s">
        <v>36</v>
      </c>
      <c r="G296" s="5">
        <v>1</v>
      </c>
      <c r="H296" s="5">
        <f t="shared" si="45"/>
        <v>10190340</v>
      </c>
    </row>
    <row r="297" spans="1:8" ht="15.75" customHeight="1" x14ac:dyDescent="0.2">
      <c r="A297" s="127">
        <v>2</v>
      </c>
      <c r="B297" s="128">
        <v>61</v>
      </c>
      <c r="C297" s="25">
        <f t="shared" si="44"/>
        <v>167054.75409836066</v>
      </c>
      <c r="D297" s="6">
        <v>10190340</v>
      </c>
      <c r="E297" s="128">
        <v>8</v>
      </c>
      <c r="F297" s="33" t="s">
        <v>36</v>
      </c>
      <c r="G297" s="5">
        <v>1</v>
      </c>
      <c r="H297" s="5">
        <f t="shared" si="45"/>
        <v>10190340</v>
      </c>
    </row>
    <row r="298" spans="1:8" ht="15.75" customHeight="1" x14ac:dyDescent="0.2">
      <c r="A298" s="127">
        <v>2</v>
      </c>
      <c r="B298" s="128">
        <v>61</v>
      </c>
      <c r="C298" s="25">
        <f t="shared" si="44"/>
        <v>173914.42622950819</v>
      </c>
      <c r="D298" s="6">
        <v>10608780</v>
      </c>
      <c r="E298" s="128">
        <v>10</v>
      </c>
      <c r="F298" s="33" t="s">
        <v>36</v>
      </c>
      <c r="G298" s="5">
        <v>1</v>
      </c>
      <c r="H298" s="5">
        <f t="shared" si="45"/>
        <v>10608780</v>
      </c>
    </row>
    <row r="299" spans="1:8" ht="15.75" customHeight="1" x14ac:dyDescent="0.2">
      <c r="A299" s="127">
        <v>2</v>
      </c>
      <c r="B299" s="128">
        <v>61</v>
      </c>
      <c r="C299" s="25">
        <f t="shared" si="44"/>
        <v>173914.42622950819</v>
      </c>
      <c r="D299" s="6">
        <v>10608780</v>
      </c>
      <c r="E299" s="128">
        <v>11</v>
      </c>
      <c r="F299" s="33" t="s">
        <v>36</v>
      </c>
      <c r="G299" s="5">
        <v>1</v>
      </c>
      <c r="H299" s="5">
        <f t="shared" si="45"/>
        <v>10608780</v>
      </c>
    </row>
    <row r="300" spans="1:8" ht="15.75" customHeight="1" x14ac:dyDescent="0.2">
      <c r="A300" s="127">
        <v>2</v>
      </c>
      <c r="B300" s="128">
        <v>61</v>
      </c>
      <c r="C300" s="25">
        <f t="shared" si="44"/>
        <v>173914.42622950819</v>
      </c>
      <c r="D300" s="6">
        <v>10608780</v>
      </c>
      <c r="E300" s="128">
        <v>12</v>
      </c>
      <c r="F300" s="33" t="s">
        <v>36</v>
      </c>
      <c r="G300" s="5">
        <v>1</v>
      </c>
      <c r="H300" s="5">
        <f t="shared" si="45"/>
        <v>10608780</v>
      </c>
    </row>
    <row r="301" spans="1:8" ht="15.75" customHeight="1" x14ac:dyDescent="0.2">
      <c r="A301" s="127">
        <v>2</v>
      </c>
      <c r="B301" s="128">
        <v>61.1</v>
      </c>
      <c r="C301" s="25">
        <f t="shared" si="44"/>
        <v>169888.70703764321</v>
      </c>
      <c r="D301" s="6">
        <v>10380200</v>
      </c>
      <c r="E301" s="128">
        <v>8</v>
      </c>
      <c r="F301" s="33" t="s">
        <v>36</v>
      </c>
      <c r="G301" s="5">
        <v>1</v>
      </c>
      <c r="H301" s="5">
        <f t="shared" si="45"/>
        <v>10380200</v>
      </c>
    </row>
    <row r="302" spans="1:8" ht="15.75" customHeight="1" x14ac:dyDescent="0.2">
      <c r="A302" s="127">
        <v>2</v>
      </c>
      <c r="B302" s="128">
        <v>61.1</v>
      </c>
      <c r="C302" s="25">
        <f t="shared" si="44"/>
        <v>173886.08837970538</v>
      </c>
      <c r="D302" s="6">
        <v>10624440</v>
      </c>
      <c r="E302" s="128">
        <v>9</v>
      </c>
      <c r="F302" s="33" t="s">
        <v>36</v>
      </c>
      <c r="G302" s="5">
        <v>1</v>
      </c>
      <c r="H302" s="5">
        <f t="shared" si="45"/>
        <v>10624440</v>
      </c>
    </row>
    <row r="303" spans="1:8" ht="15.75" customHeight="1" x14ac:dyDescent="0.2">
      <c r="A303" s="127">
        <v>2</v>
      </c>
      <c r="B303" s="128">
        <v>61.2</v>
      </c>
      <c r="C303" s="25">
        <f t="shared" si="44"/>
        <v>159947.71241830065</v>
      </c>
      <c r="D303" s="6">
        <v>9788800</v>
      </c>
      <c r="E303" s="128">
        <v>3</v>
      </c>
      <c r="F303" s="33" t="s">
        <v>36</v>
      </c>
      <c r="G303" s="5">
        <v>1</v>
      </c>
      <c r="H303" s="5">
        <f t="shared" si="45"/>
        <v>9788800</v>
      </c>
    </row>
    <row r="304" spans="1:8" ht="15.75" customHeight="1" x14ac:dyDescent="0.2">
      <c r="A304" s="127">
        <v>2</v>
      </c>
      <c r="B304" s="128">
        <v>61.2</v>
      </c>
      <c r="C304" s="25">
        <f t="shared" ref="C304" si="70">D304/B304</f>
        <v>170055.55555555556</v>
      </c>
      <c r="D304" s="6">
        <v>10407400</v>
      </c>
      <c r="E304" s="128">
        <v>7</v>
      </c>
      <c r="F304" s="33" t="s">
        <v>36</v>
      </c>
      <c r="G304" s="5">
        <v>1</v>
      </c>
      <c r="H304" s="5">
        <f t="shared" ref="H304" si="71">G304*D304</f>
        <v>10407400</v>
      </c>
    </row>
    <row r="305" spans="1:8" ht="15.75" customHeight="1" x14ac:dyDescent="0.2">
      <c r="A305" s="127">
        <v>2</v>
      </c>
      <c r="B305" s="128">
        <v>61.2</v>
      </c>
      <c r="C305" s="25">
        <f t="shared" si="44"/>
        <v>167054.57516339869</v>
      </c>
      <c r="D305" s="6">
        <v>10223740</v>
      </c>
      <c r="E305" s="128">
        <v>4</v>
      </c>
      <c r="F305" s="33" t="s">
        <v>36</v>
      </c>
      <c r="G305" s="5">
        <v>1</v>
      </c>
      <c r="H305" s="5">
        <f t="shared" si="45"/>
        <v>10223740</v>
      </c>
    </row>
    <row r="306" spans="1:8" ht="15.75" customHeight="1" x14ac:dyDescent="0.2">
      <c r="A306" s="127">
        <v>2</v>
      </c>
      <c r="B306" s="128">
        <v>61.2</v>
      </c>
      <c r="C306" s="25">
        <f t="shared" si="44"/>
        <v>167054.57516339869</v>
      </c>
      <c r="D306" s="6">
        <v>10223740</v>
      </c>
      <c r="E306" s="128">
        <v>3</v>
      </c>
      <c r="F306" s="33" t="s">
        <v>36</v>
      </c>
      <c r="G306" s="5">
        <v>1</v>
      </c>
      <c r="H306" s="5">
        <f t="shared" si="45"/>
        <v>10223740</v>
      </c>
    </row>
    <row r="307" spans="1:8" ht="15.75" customHeight="1" x14ac:dyDescent="0.2">
      <c r="A307" s="127">
        <v>2</v>
      </c>
      <c r="B307" s="128">
        <v>61.2</v>
      </c>
      <c r="C307" s="25">
        <f t="shared" si="44"/>
        <v>170055.55555555556</v>
      </c>
      <c r="D307" s="6">
        <v>10407400</v>
      </c>
      <c r="E307" s="128">
        <v>5</v>
      </c>
      <c r="F307" s="33" t="s">
        <v>36</v>
      </c>
      <c r="G307" s="5">
        <v>1</v>
      </c>
      <c r="H307" s="5">
        <f t="shared" si="45"/>
        <v>10407400</v>
      </c>
    </row>
    <row r="308" spans="1:8" ht="15.75" customHeight="1" x14ac:dyDescent="0.2">
      <c r="A308" s="127">
        <v>2</v>
      </c>
      <c r="B308" s="128">
        <v>61.2</v>
      </c>
      <c r="C308" s="25">
        <f t="shared" si="44"/>
        <v>170071.89542483661</v>
      </c>
      <c r="D308" s="6">
        <v>10408400</v>
      </c>
      <c r="E308" s="128">
        <v>6</v>
      </c>
      <c r="F308" s="33" t="s">
        <v>36</v>
      </c>
      <c r="G308" s="5">
        <v>1</v>
      </c>
      <c r="H308" s="5">
        <f t="shared" si="45"/>
        <v>10408400</v>
      </c>
    </row>
    <row r="309" spans="1:8" ht="15.75" customHeight="1" x14ac:dyDescent="0.2">
      <c r="A309" s="127">
        <v>2</v>
      </c>
      <c r="B309" s="128">
        <v>61.39</v>
      </c>
      <c r="C309" s="25">
        <f t="shared" si="44"/>
        <v>165000</v>
      </c>
      <c r="D309" s="6">
        <v>10129350</v>
      </c>
      <c r="E309" s="128">
        <v>2</v>
      </c>
      <c r="F309" s="33" t="s">
        <v>36</v>
      </c>
      <c r="G309" s="5">
        <v>1</v>
      </c>
      <c r="H309" s="5">
        <f t="shared" si="45"/>
        <v>10129350</v>
      </c>
    </row>
    <row r="310" spans="1:8" ht="15.75" customHeight="1" x14ac:dyDescent="0.2">
      <c r="A310" s="127">
        <v>2</v>
      </c>
      <c r="B310" s="128">
        <v>61.5</v>
      </c>
      <c r="C310" s="25">
        <f t="shared" si="44"/>
        <v>159921.95121951221</v>
      </c>
      <c r="D310" s="6">
        <v>9835200</v>
      </c>
      <c r="E310" s="128">
        <v>2</v>
      </c>
      <c r="F310" s="33" t="s">
        <v>36</v>
      </c>
      <c r="G310" s="5">
        <v>1</v>
      </c>
      <c r="H310" s="5">
        <f t="shared" si="45"/>
        <v>9835200</v>
      </c>
    </row>
    <row r="311" spans="1:8" ht="15.75" customHeight="1" x14ac:dyDescent="0.2">
      <c r="A311" s="127">
        <v>2</v>
      </c>
      <c r="B311" s="128">
        <v>61.6</v>
      </c>
      <c r="C311" s="25">
        <f t="shared" si="44"/>
        <v>160181.81818181818</v>
      </c>
      <c r="D311" s="6">
        <v>9867200</v>
      </c>
      <c r="E311" s="128">
        <v>1</v>
      </c>
      <c r="F311" s="33" t="s">
        <v>36</v>
      </c>
      <c r="G311" s="5">
        <v>1</v>
      </c>
      <c r="H311" s="5">
        <f t="shared" si="45"/>
        <v>9867200</v>
      </c>
    </row>
    <row r="312" spans="1:8" ht="15.75" customHeight="1" x14ac:dyDescent="0.2">
      <c r="A312" s="127">
        <v>3</v>
      </c>
      <c r="B312" s="128">
        <v>67</v>
      </c>
      <c r="C312" s="25">
        <f t="shared" ref="C312:C344" si="72">D312/B312</f>
        <v>183081.94029850746</v>
      </c>
      <c r="D312" s="6">
        <v>12266490</v>
      </c>
      <c r="E312" s="128">
        <v>17</v>
      </c>
      <c r="F312" s="33" t="s">
        <v>36</v>
      </c>
      <c r="G312" s="5">
        <v>1</v>
      </c>
      <c r="H312" s="5">
        <f t="shared" ref="H312:H344" si="73">G312*D312</f>
        <v>12266490</v>
      </c>
    </row>
    <row r="313" spans="1:8" ht="15.75" customHeight="1" x14ac:dyDescent="0.2">
      <c r="A313" s="127">
        <v>3</v>
      </c>
      <c r="B313" s="128">
        <v>67</v>
      </c>
      <c r="C313" s="25">
        <f t="shared" si="72"/>
        <v>183081.94029850746</v>
      </c>
      <c r="D313" s="6">
        <v>12266490</v>
      </c>
      <c r="E313" s="128">
        <v>13</v>
      </c>
      <c r="F313" s="33" t="s">
        <v>36</v>
      </c>
      <c r="G313" s="5">
        <v>1</v>
      </c>
      <c r="H313" s="5">
        <f t="shared" si="73"/>
        <v>12266490</v>
      </c>
    </row>
    <row r="314" spans="1:8" ht="15.75" customHeight="1" x14ac:dyDescent="0.2">
      <c r="A314" s="127">
        <v>3</v>
      </c>
      <c r="B314" s="128">
        <v>67</v>
      </c>
      <c r="C314" s="25">
        <f t="shared" si="72"/>
        <v>185082.83582089553</v>
      </c>
      <c r="D314" s="6">
        <v>12400550</v>
      </c>
      <c r="E314" s="128">
        <v>15</v>
      </c>
      <c r="F314" s="33" t="s">
        <v>36</v>
      </c>
      <c r="G314" s="5">
        <v>1</v>
      </c>
      <c r="H314" s="5">
        <f t="shared" si="73"/>
        <v>12400550</v>
      </c>
    </row>
    <row r="315" spans="1:8" ht="15.75" customHeight="1" x14ac:dyDescent="0.2">
      <c r="A315" s="127">
        <v>3</v>
      </c>
      <c r="B315" s="128">
        <v>67</v>
      </c>
      <c r="C315" s="25">
        <f t="shared" si="72"/>
        <v>185082.83582089553</v>
      </c>
      <c r="D315" s="6">
        <v>12400550</v>
      </c>
      <c r="E315" s="128">
        <v>15</v>
      </c>
      <c r="F315" s="33" t="s">
        <v>36</v>
      </c>
      <c r="G315" s="5">
        <v>1</v>
      </c>
      <c r="H315" s="5">
        <f t="shared" si="73"/>
        <v>12400550</v>
      </c>
    </row>
    <row r="316" spans="1:8" ht="15.75" customHeight="1" x14ac:dyDescent="0.2">
      <c r="A316" s="127">
        <v>3</v>
      </c>
      <c r="B316" s="128">
        <v>67</v>
      </c>
      <c r="C316" s="25">
        <f t="shared" si="72"/>
        <v>185082.83582089553</v>
      </c>
      <c r="D316" s="6">
        <v>12400550</v>
      </c>
      <c r="E316" s="128">
        <v>14</v>
      </c>
      <c r="F316" s="33" t="s">
        <v>36</v>
      </c>
      <c r="G316" s="5">
        <v>1</v>
      </c>
      <c r="H316" s="5">
        <f t="shared" si="73"/>
        <v>12400550</v>
      </c>
    </row>
    <row r="317" spans="1:8" ht="15.75" customHeight="1" x14ac:dyDescent="0.2">
      <c r="A317" s="127">
        <v>3</v>
      </c>
      <c r="B317" s="128">
        <v>67</v>
      </c>
      <c r="C317" s="25">
        <f t="shared" si="72"/>
        <v>185082.83582089553</v>
      </c>
      <c r="D317" s="6">
        <v>12400550</v>
      </c>
      <c r="E317" s="128">
        <v>16</v>
      </c>
      <c r="F317" s="33" t="s">
        <v>36</v>
      </c>
      <c r="G317" s="5">
        <v>1</v>
      </c>
      <c r="H317" s="5">
        <f t="shared" si="73"/>
        <v>12400550</v>
      </c>
    </row>
    <row r="318" spans="1:8" ht="15.75" customHeight="1" x14ac:dyDescent="0.2">
      <c r="A318" s="127">
        <v>3</v>
      </c>
      <c r="B318" s="128">
        <v>67</v>
      </c>
      <c r="C318" s="25">
        <f t="shared" si="72"/>
        <v>185082.83582089553</v>
      </c>
      <c r="D318" s="6">
        <v>12400550</v>
      </c>
      <c r="E318" s="128">
        <v>14</v>
      </c>
      <c r="F318" s="33" t="s">
        <v>36</v>
      </c>
      <c r="G318" s="5">
        <v>1</v>
      </c>
      <c r="H318" s="5">
        <f t="shared" si="73"/>
        <v>12400550</v>
      </c>
    </row>
    <row r="319" spans="1:8" ht="15.75" customHeight="1" x14ac:dyDescent="0.2">
      <c r="A319" s="127">
        <v>3</v>
      </c>
      <c r="B319" s="128">
        <v>67</v>
      </c>
      <c r="C319" s="25">
        <f t="shared" si="72"/>
        <v>185082.83582089553</v>
      </c>
      <c r="D319" s="6">
        <v>12400550</v>
      </c>
      <c r="E319" s="128">
        <v>17</v>
      </c>
      <c r="F319" s="33" t="s">
        <v>36</v>
      </c>
      <c r="G319" s="5">
        <v>1</v>
      </c>
      <c r="H319" s="5">
        <f t="shared" si="73"/>
        <v>12400550</v>
      </c>
    </row>
    <row r="320" spans="1:8" ht="15.75" customHeight="1" x14ac:dyDescent="0.2">
      <c r="A320" s="127">
        <v>3</v>
      </c>
      <c r="B320" s="128">
        <v>67</v>
      </c>
      <c r="C320" s="25">
        <f t="shared" si="72"/>
        <v>185082.83582089553</v>
      </c>
      <c r="D320" s="6">
        <v>12400550</v>
      </c>
      <c r="E320" s="128">
        <v>16</v>
      </c>
      <c r="F320" s="33" t="s">
        <v>36</v>
      </c>
      <c r="G320" s="5">
        <v>1</v>
      </c>
      <c r="H320" s="5">
        <f t="shared" si="73"/>
        <v>12400550</v>
      </c>
    </row>
    <row r="321" spans="1:8" ht="15.75" customHeight="1" x14ac:dyDescent="0.2">
      <c r="A321" s="127">
        <v>3</v>
      </c>
      <c r="B321" s="128">
        <v>67.099999999999994</v>
      </c>
      <c r="C321" s="25">
        <f t="shared" si="72"/>
        <v>183190.90909090912</v>
      </c>
      <c r="D321" s="6">
        <v>12292110</v>
      </c>
      <c r="E321" s="128">
        <v>10</v>
      </c>
      <c r="F321" s="33" t="s">
        <v>36</v>
      </c>
      <c r="G321" s="5">
        <v>1</v>
      </c>
      <c r="H321" s="5">
        <f t="shared" si="73"/>
        <v>12292110</v>
      </c>
    </row>
    <row r="322" spans="1:8" ht="15.75" customHeight="1" x14ac:dyDescent="0.2">
      <c r="A322" s="127">
        <v>3</v>
      </c>
      <c r="B322" s="128">
        <v>67.099999999999994</v>
      </c>
      <c r="C322" s="25">
        <f t="shared" si="72"/>
        <v>183109.09090909091</v>
      </c>
      <c r="D322" s="6">
        <v>12286620</v>
      </c>
      <c r="E322" s="128">
        <v>12</v>
      </c>
      <c r="F322" s="33" t="s">
        <v>36</v>
      </c>
      <c r="G322" s="5">
        <v>1</v>
      </c>
      <c r="H322" s="5">
        <f t="shared" si="73"/>
        <v>12286620</v>
      </c>
    </row>
    <row r="323" spans="1:8" ht="15.75" customHeight="1" x14ac:dyDescent="0.2">
      <c r="A323" s="127">
        <v>3</v>
      </c>
      <c r="B323" s="128">
        <v>67.099999999999994</v>
      </c>
      <c r="C323" s="25">
        <f t="shared" si="72"/>
        <v>183109.09090909091</v>
      </c>
      <c r="D323" s="6">
        <v>12286620</v>
      </c>
      <c r="E323" s="128">
        <v>11</v>
      </c>
      <c r="F323" s="33" t="s">
        <v>36</v>
      </c>
      <c r="G323" s="5">
        <v>1</v>
      </c>
      <c r="H323" s="5">
        <f t="shared" si="73"/>
        <v>12286620</v>
      </c>
    </row>
    <row r="324" spans="1:8" ht="15.75" customHeight="1" x14ac:dyDescent="0.2">
      <c r="A324" s="127">
        <v>3</v>
      </c>
      <c r="B324" s="128">
        <v>67.099999999999994</v>
      </c>
      <c r="C324" s="25">
        <f t="shared" si="72"/>
        <v>183109.09090909091</v>
      </c>
      <c r="D324" s="6">
        <v>12286620</v>
      </c>
      <c r="E324" s="128">
        <v>12</v>
      </c>
      <c r="F324" s="33" t="s">
        <v>36</v>
      </c>
      <c r="G324" s="5">
        <v>1</v>
      </c>
      <c r="H324" s="5">
        <f t="shared" si="73"/>
        <v>12286620</v>
      </c>
    </row>
    <row r="325" spans="1:8" ht="15.75" customHeight="1" x14ac:dyDescent="0.2">
      <c r="A325" s="127">
        <v>3</v>
      </c>
      <c r="B325" s="128">
        <v>67.099999999999994</v>
      </c>
      <c r="C325" s="25">
        <f t="shared" si="72"/>
        <v>183109.09090909091</v>
      </c>
      <c r="D325" s="6">
        <v>12286620</v>
      </c>
      <c r="E325" s="128">
        <v>13</v>
      </c>
      <c r="F325" s="33" t="s">
        <v>36</v>
      </c>
      <c r="G325" s="5">
        <v>1</v>
      </c>
      <c r="H325" s="5">
        <f t="shared" si="73"/>
        <v>12286620</v>
      </c>
    </row>
    <row r="326" spans="1:8" ht="15.75" customHeight="1" x14ac:dyDescent="0.2">
      <c r="A326" s="127">
        <v>3</v>
      </c>
      <c r="B326" s="128">
        <v>67.099999999999994</v>
      </c>
      <c r="C326" s="25">
        <f t="shared" si="72"/>
        <v>183109.09090909091</v>
      </c>
      <c r="D326" s="6">
        <v>12286620</v>
      </c>
      <c r="E326" s="128">
        <v>13</v>
      </c>
      <c r="F326" s="33" t="s">
        <v>36</v>
      </c>
      <c r="G326" s="5">
        <v>1</v>
      </c>
      <c r="H326" s="5">
        <f t="shared" si="73"/>
        <v>12286620</v>
      </c>
    </row>
    <row r="327" spans="1:8" ht="15.75" customHeight="1" x14ac:dyDescent="0.2">
      <c r="A327" s="127">
        <v>3</v>
      </c>
      <c r="B327" s="128">
        <v>67.2</v>
      </c>
      <c r="C327" s="25">
        <f t="shared" si="72"/>
        <v>180107.14285714284</v>
      </c>
      <c r="D327" s="6">
        <v>12103200</v>
      </c>
      <c r="E327" s="128">
        <v>9</v>
      </c>
      <c r="F327" s="33" t="s">
        <v>36</v>
      </c>
      <c r="G327" s="5">
        <v>1</v>
      </c>
      <c r="H327" s="5">
        <f t="shared" si="73"/>
        <v>12103200</v>
      </c>
    </row>
    <row r="328" spans="1:8" ht="15.75" customHeight="1" x14ac:dyDescent="0.2">
      <c r="A328" s="127">
        <v>3</v>
      </c>
      <c r="B328" s="128">
        <v>67.2</v>
      </c>
      <c r="C328" s="25">
        <f t="shared" si="72"/>
        <v>182918.30357142855</v>
      </c>
      <c r="D328" s="6">
        <v>12292110</v>
      </c>
      <c r="E328" s="128">
        <v>10</v>
      </c>
      <c r="F328" s="33" t="s">
        <v>36</v>
      </c>
      <c r="G328" s="5">
        <v>1</v>
      </c>
      <c r="H328" s="5">
        <f t="shared" si="73"/>
        <v>12292110</v>
      </c>
    </row>
    <row r="329" spans="1:8" ht="15.75" customHeight="1" x14ac:dyDescent="0.2">
      <c r="A329" s="127">
        <v>3</v>
      </c>
      <c r="B329" s="128">
        <v>67.3</v>
      </c>
      <c r="C329" s="25">
        <f t="shared" si="72"/>
        <v>180053.49182763745</v>
      </c>
      <c r="D329" s="6">
        <v>12117600</v>
      </c>
      <c r="E329" s="128">
        <v>8</v>
      </c>
      <c r="F329" s="33" t="s">
        <v>36</v>
      </c>
      <c r="G329" s="5">
        <v>1</v>
      </c>
      <c r="H329" s="5">
        <f t="shared" si="73"/>
        <v>12117600</v>
      </c>
    </row>
    <row r="330" spans="1:8" ht="15.75" customHeight="1" x14ac:dyDescent="0.2">
      <c r="A330" s="127">
        <v>3</v>
      </c>
      <c r="B330" s="128">
        <v>67.3</v>
      </c>
      <c r="C330" s="25">
        <f t="shared" si="72"/>
        <v>180053.49182763745</v>
      </c>
      <c r="D330" s="6">
        <v>12117600</v>
      </c>
      <c r="E330" s="128">
        <v>9</v>
      </c>
      <c r="F330" s="33" t="s">
        <v>36</v>
      </c>
      <c r="G330" s="5">
        <v>1</v>
      </c>
      <c r="H330" s="5">
        <f t="shared" si="73"/>
        <v>12117600</v>
      </c>
    </row>
    <row r="331" spans="1:8" ht="15.75" customHeight="1" x14ac:dyDescent="0.2">
      <c r="A331" s="127">
        <v>3</v>
      </c>
      <c r="B331" s="128">
        <v>67.5</v>
      </c>
      <c r="C331" s="25">
        <f t="shared" si="72"/>
        <v>169949.62962962964</v>
      </c>
      <c r="D331" s="6">
        <v>11471600</v>
      </c>
      <c r="E331" s="128">
        <v>4</v>
      </c>
      <c r="F331" s="33" t="s">
        <v>36</v>
      </c>
      <c r="G331" s="5">
        <v>1</v>
      </c>
      <c r="H331" s="5">
        <f t="shared" si="73"/>
        <v>11471600</v>
      </c>
    </row>
    <row r="332" spans="1:8" ht="15.75" customHeight="1" x14ac:dyDescent="0.2">
      <c r="A332" s="127">
        <v>3</v>
      </c>
      <c r="B332" s="128">
        <v>67.5</v>
      </c>
      <c r="C332" s="25">
        <f t="shared" si="72"/>
        <v>174948.14814814815</v>
      </c>
      <c r="D332" s="6">
        <v>11809000</v>
      </c>
      <c r="E332" s="128">
        <v>5</v>
      </c>
      <c r="F332" s="33" t="s">
        <v>36</v>
      </c>
      <c r="G332" s="5">
        <v>1</v>
      </c>
      <c r="H332" s="5">
        <f t="shared" si="73"/>
        <v>11809000</v>
      </c>
    </row>
    <row r="333" spans="1:8" ht="15.75" customHeight="1" x14ac:dyDescent="0.2">
      <c r="A333" s="127">
        <v>3</v>
      </c>
      <c r="B333" s="128">
        <v>67.5</v>
      </c>
      <c r="C333" s="25">
        <f t="shared" si="72"/>
        <v>179946.66666666666</v>
      </c>
      <c r="D333" s="6">
        <v>12146400</v>
      </c>
      <c r="E333" s="128">
        <v>6</v>
      </c>
      <c r="F333" s="33" t="s">
        <v>36</v>
      </c>
      <c r="G333" s="5">
        <v>1</v>
      </c>
      <c r="H333" s="5">
        <f t="shared" si="73"/>
        <v>12146400</v>
      </c>
    </row>
    <row r="334" spans="1:8" ht="15.75" customHeight="1" x14ac:dyDescent="0.2">
      <c r="A334" s="127">
        <v>3</v>
      </c>
      <c r="B334" s="128">
        <v>67.5</v>
      </c>
      <c r="C334" s="25">
        <f t="shared" si="72"/>
        <v>179946.66666666666</v>
      </c>
      <c r="D334" s="6">
        <v>12146400</v>
      </c>
      <c r="E334" s="128">
        <v>8</v>
      </c>
      <c r="F334" s="33" t="s">
        <v>36</v>
      </c>
      <c r="G334" s="5">
        <v>1</v>
      </c>
      <c r="H334" s="5">
        <f t="shared" si="73"/>
        <v>12146400</v>
      </c>
    </row>
    <row r="335" spans="1:8" ht="15.75" customHeight="1" x14ac:dyDescent="0.2">
      <c r="A335" s="127">
        <v>3</v>
      </c>
      <c r="B335" s="128">
        <v>67.5</v>
      </c>
      <c r="C335" s="25">
        <f t="shared" si="72"/>
        <v>179946.66666666666</v>
      </c>
      <c r="D335" s="6">
        <v>12146400</v>
      </c>
      <c r="E335" s="128">
        <v>7</v>
      </c>
      <c r="F335" s="33" t="s">
        <v>36</v>
      </c>
      <c r="G335" s="5">
        <v>1</v>
      </c>
      <c r="H335" s="5">
        <f t="shared" si="73"/>
        <v>12146400</v>
      </c>
    </row>
    <row r="336" spans="1:8" ht="15.75" customHeight="1" x14ac:dyDescent="0.2">
      <c r="A336" s="127">
        <v>3</v>
      </c>
      <c r="B336" s="128">
        <v>67.5</v>
      </c>
      <c r="C336" s="25">
        <f t="shared" si="72"/>
        <v>169949.62962962964</v>
      </c>
      <c r="D336" s="6">
        <v>11471600</v>
      </c>
      <c r="E336" s="128">
        <v>4</v>
      </c>
      <c r="F336" s="33" t="s">
        <v>36</v>
      </c>
      <c r="G336" s="5">
        <v>1</v>
      </c>
      <c r="H336" s="5">
        <f t="shared" si="73"/>
        <v>11471600</v>
      </c>
    </row>
    <row r="337" spans="1:8" ht="15.75" customHeight="1" x14ac:dyDescent="0.2">
      <c r="A337" s="127">
        <v>3</v>
      </c>
      <c r="B337" s="128">
        <v>67.5</v>
      </c>
      <c r="C337" s="25">
        <f t="shared" ref="C337" si="74">D337/B337</f>
        <v>174948.14814814815</v>
      </c>
      <c r="D337" s="6">
        <v>11809000</v>
      </c>
      <c r="E337" s="128">
        <v>5</v>
      </c>
      <c r="F337" s="33" t="s">
        <v>36</v>
      </c>
      <c r="G337" s="5">
        <v>1</v>
      </c>
      <c r="H337" s="5">
        <f t="shared" ref="H337" si="75">G337*D337</f>
        <v>11809000</v>
      </c>
    </row>
    <row r="338" spans="1:8" ht="15.75" customHeight="1" x14ac:dyDescent="0.2">
      <c r="A338" s="127">
        <v>3</v>
      </c>
      <c r="B338" s="128">
        <v>67.5</v>
      </c>
      <c r="C338" s="25">
        <f t="shared" si="72"/>
        <v>179946.66666666666</v>
      </c>
      <c r="D338" s="6">
        <v>12146400</v>
      </c>
      <c r="E338" s="128">
        <v>7</v>
      </c>
      <c r="F338" s="33" t="s">
        <v>36</v>
      </c>
      <c r="G338" s="5">
        <v>1</v>
      </c>
      <c r="H338" s="5">
        <f t="shared" si="73"/>
        <v>12146400</v>
      </c>
    </row>
    <row r="339" spans="1:8" ht="15.75" customHeight="1" x14ac:dyDescent="0.2">
      <c r="A339" s="127">
        <v>3</v>
      </c>
      <c r="B339" s="128">
        <v>67.5</v>
      </c>
      <c r="C339" s="25">
        <f t="shared" si="72"/>
        <v>179946.66666666666</v>
      </c>
      <c r="D339" s="6">
        <v>12146400</v>
      </c>
      <c r="E339" s="128">
        <v>6</v>
      </c>
      <c r="F339" s="33" t="s">
        <v>36</v>
      </c>
      <c r="G339" s="5">
        <v>1</v>
      </c>
      <c r="H339" s="5">
        <f t="shared" si="73"/>
        <v>12146400</v>
      </c>
    </row>
    <row r="340" spans="1:8" ht="15.75" customHeight="1" x14ac:dyDescent="0.2">
      <c r="A340" s="127">
        <v>3</v>
      </c>
      <c r="B340" s="128">
        <v>67.47</v>
      </c>
      <c r="C340" s="25">
        <f t="shared" si="72"/>
        <v>172000</v>
      </c>
      <c r="D340" s="6">
        <v>11604840</v>
      </c>
      <c r="E340" s="128">
        <v>3</v>
      </c>
      <c r="F340" s="33" t="s">
        <v>36</v>
      </c>
      <c r="G340" s="5">
        <v>1</v>
      </c>
      <c r="H340" s="5">
        <f t="shared" si="73"/>
        <v>11604840</v>
      </c>
    </row>
    <row r="341" spans="1:8" ht="15.75" customHeight="1" x14ac:dyDescent="0.2">
      <c r="A341" s="127">
        <v>3</v>
      </c>
      <c r="B341" s="128">
        <v>67.7</v>
      </c>
      <c r="C341" s="25">
        <f t="shared" si="72"/>
        <v>167000</v>
      </c>
      <c r="D341" s="6">
        <v>11305900</v>
      </c>
      <c r="E341" s="128">
        <v>3</v>
      </c>
      <c r="F341" s="33" t="s">
        <v>36</v>
      </c>
      <c r="G341" s="5">
        <v>1</v>
      </c>
      <c r="H341" s="5">
        <f t="shared" si="73"/>
        <v>11305900</v>
      </c>
    </row>
    <row r="342" spans="1:8" ht="15.75" customHeight="1" x14ac:dyDescent="0.2">
      <c r="A342" s="127">
        <v>3</v>
      </c>
      <c r="B342" s="128">
        <v>67.7</v>
      </c>
      <c r="C342" s="25">
        <f t="shared" si="72"/>
        <v>172000</v>
      </c>
      <c r="D342" s="6">
        <v>11644400</v>
      </c>
      <c r="E342" s="128">
        <v>2</v>
      </c>
      <c r="F342" s="33" t="s">
        <v>36</v>
      </c>
      <c r="G342" s="5">
        <v>1</v>
      </c>
      <c r="H342" s="5">
        <f t="shared" si="73"/>
        <v>11644400</v>
      </c>
    </row>
    <row r="343" spans="1:8" ht="15.75" customHeight="1" x14ac:dyDescent="0.2">
      <c r="A343" s="127">
        <v>3</v>
      </c>
      <c r="B343" s="128">
        <v>68.099999999999994</v>
      </c>
      <c r="C343" s="25">
        <f t="shared" si="72"/>
        <v>167001.46842878123</v>
      </c>
      <c r="D343" s="6">
        <v>11372800</v>
      </c>
      <c r="E343" s="128">
        <v>2</v>
      </c>
      <c r="F343" s="33" t="s">
        <v>36</v>
      </c>
      <c r="G343" s="5">
        <v>1</v>
      </c>
      <c r="H343" s="5">
        <f t="shared" si="73"/>
        <v>11372800</v>
      </c>
    </row>
    <row r="344" spans="1:8" ht="15.75" customHeight="1" x14ac:dyDescent="0.2">
      <c r="A344" s="127">
        <v>3</v>
      </c>
      <c r="B344" s="128">
        <v>68.099999999999994</v>
      </c>
      <c r="C344" s="25">
        <f t="shared" si="72"/>
        <v>169000</v>
      </c>
      <c r="D344" s="6">
        <v>11508900</v>
      </c>
      <c r="E344" s="128">
        <v>1</v>
      </c>
      <c r="F344" s="33" t="s">
        <v>36</v>
      </c>
      <c r="G344" s="5">
        <v>1</v>
      </c>
      <c r="H344" s="5">
        <f t="shared" si="73"/>
        <v>11508900</v>
      </c>
    </row>
    <row r="345" spans="1:8" ht="15.75" customHeight="1" x14ac:dyDescent="0.2">
      <c r="A345" s="299" t="s">
        <v>170</v>
      </c>
      <c r="B345" s="294"/>
      <c r="C345" s="294"/>
      <c r="D345" s="294"/>
      <c r="E345" s="294"/>
      <c r="F345" s="294"/>
      <c r="G345" s="81" t="s">
        <v>171</v>
      </c>
    </row>
    <row r="346" spans="1:8" ht="15.75" customHeight="1" x14ac:dyDescent="0.2">
      <c r="A346" s="127">
        <v>2</v>
      </c>
      <c r="B346" s="128">
        <v>47</v>
      </c>
      <c r="C346" s="25">
        <f t="shared" ref="C346:C389" si="76">D346/B346</f>
        <v>266240.42553191487</v>
      </c>
      <c r="D346" s="6">
        <v>12513300</v>
      </c>
      <c r="E346" s="128">
        <v>2</v>
      </c>
      <c r="F346" s="164" t="s">
        <v>36</v>
      </c>
      <c r="G346" s="99">
        <v>1</v>
      </c>
      <c r="H346" s="5">
        <f t="shared" ref="H346:H389" si="77">G346*D346</f>
        <v>12513300</v>
      </c>
    </row>
    <row r="347" spans="1:8" ht="15.75" customHeight="1" x14ac:dyDescent="0.2">
      <c r="A347" s="127">
        <v>2</v>
      </c>
      <c r="B347" s="128">
        <v>47</v>
      </c>
      <c r="C347" s="25">
        <f t="shared" si="76"/>
        <v>270172.3404255319</v>
      </c>
      <c r="D347" s="6">
        <v>12698100</v>
      </c>
      <c r="E347" s="128">
        <v>4</v>
      </c>
      <c r="F347" s="33" t="s">
        <v>36</v>
      </c>
      <c r="G347" s="5">
        <v>1</v>
      </c>
      <c r="H347" s="5">
        <f t="shared" si="77"/>
        <v>12698100</v>
      </c>
    </row>
    <row r="348" spans="1:8" ht="15.75" customHeight="1" x14ac:dyDescent="0.2">
      <c r="A348" s="127">
        <v>2</v>
      </c>
      <c r="B348" s="128">
        <v>47</v>
      </c>
      <c r="C348" s="25">
        <f t="shared" si="76"/>
        <v>270746.80851063831</v>
      </c>
      <c r="D348" s="6">
        <v>12725100</v>
      </c>
      <c r="E348" s="128">
        <v>3</v>
      </c>
      <c r="F348" s="33" t="s">
        <v>36</v>
      </c>
      <c r="G348" s="5">
        <v>1</v>
      </c>
      <c r="H348" s="5">
        <f t="shared" si="77"/>
        <v>12725100</v>
      </c>
    </row>
    <row r="349" spans="1:8" ht="15.75" customHeight="1" x14ac:dyDescent="0.2">
      <c r="A349" s="127">
        <v>2</v>
      </c>
      <c r="B349" s="128">
        <v>47</v>
      </c>
      <c r="C349" s="25">
        <f t="shared" si="76"/>
        <v>274590.42553191487</v>
      </c>
      <c r="D349" s="6">
        <v>12905750</v>
      </c>
      <c r="E349" s="128">
        <v>5</v>
      </c>
      <c r="F349" s="33" t="s">
        <v>36</v>
      </c>
      <c r="G349" s="5">
        <v>1</v>
      </c>
      <c r="H349" s="5">
        <f t="shared" si="77"/>
        <v>12905750</v>
      </c>
    </row>
    <row r="350" spans="1:8" ht="15.75" customHeight="1" x14ac:dyDescent="0.2">
      <c r="A350" s="127">
        <v>2</v>
      </c>
      <c r="B350" s="128">
        <v>47.3</v>
      </c>
      <c r="C350" s="25">
        <f t="shared" si="76"/>
        <v>265952.4312896406</v>
      </c>
      <c r="D350" s="6">
        <v>12579550</v>
      </c>
      <c r="E350" s="128">
        <v>2</v>
      </c>
      <c r="F350" s="33" t="s">
        <v>36</v>
      </c>
      <c r="G350" s="5">
        <v>1</v>
      </c>
      <c r="H350" s="5">
        <f t="shared" si="77"/>
        <v>12579550</v>
      </c>
    </row>
    <row r="351" spans="1:8" ht="15.75" customHeight="1" x14ac:dyDescent="0.2">
      <c r="A351" s="127">
        <v>2</v>
      </c>
      <c r="B351" s="128">
        <v>47.3</v>
      </c>
      <c r="C351" s="25">
        <f t="shared" si="76"/>
        <v>270399.57716701902</v>
      </c>
      <c r="D351" s="6">
        <v>12789900</v>
      </c>
      <c r="E351" s="128">
        <v>4</v>
      </c>
      <c r="F351" s="33" t="s">
        <v>36</v>
      </c>
      <c r="G351" s="5">
        <v>1</v>
      </c>
      <c r="H351" s="5">
        <f t="shared" si="77"/>
        <v>12789900</v>
      </c>
    </row>
    <row r="352" spans="1:8" ht="15.75" customHeight="1" x14ac:dyDescent="0.2">
      <c r="A352" s="127">
        <v>2</v>
      </c>
      <c r="B352" s="128">
        <v>47.3</v>
      </c>
      <c r="C352" s="25">
        <f t="shared" si="76"/>
        <v>270970.40169133194</v>
      </c>
      <c r="D352" s="6">
        <v>12816900</v>
      </c>
      <c r="E352" s="128">
        <v>3</v>
      </c>
      <c r="F352" s="33" t="s">
        <v>36</v>
      </c>
      <c r="G352" s="5">
        <v>1</v>
      </c>
      <c r="H352" s="5">
        <f t="shared" si="77"/>
        <v>12816900</v>
      </c>
    </row>
    <row r="353" spans="1:8" ht="15.75" customHeight="1" x14ac:dyDescent="0.2">
      <c r="A353" s="127">
        <v>2</v>
      </c>
      <c r="B353" s="128">
        <v>47.3</v>
      </c>
      <c r="C353" s="25">
        <f t="shared" si="76"/>
        <v>269771.67019027483</v>
      </c>
      <c r="D353" s="6">
        <v>12760200</v>
      </c>
      <c r="E353" s="128">
        <v>5</v>
      </c>
      <c r="F353" s="33" t="s">
        <v>36</v>
      </c>
      <c r="G353" s="5">
        <v>1</v>
      </c>
      <c r="H353" s="5">
        <f t="shared" si="77"/>
        <v>12760200</v>
      </c>
    </row>
    <row r="354" spans="1:8" ht="15.75" customHeight="1" x14ac:dyDescent="0.2">
      <c r="A354" s="127">
        <v>2</v>
      </c>
      <c r="B354" s="128">
        <v>57.1</v>
      </c>
      <c r="C354" s="25">
        <f t="shared" si="76"/>
        <v>274807.35551663744</v>
      </c>
      <c r="D354" s="6">
        <v>15691500</v>
      </c>
      <c r="E354" s="128">
        <v>5</v>
      </c>
      <c r="F354" s="33" t="s">
        <v>36</v>
      </c>
      <c r="G354" s="5">
        <v>1</v>
      </c>
      <c r="H354" s="5">
        <f t="shared" si="77"/>
        <v>15691500</v>
      </c>
    </row>
    <row r="355" spans="1:8" ht="15.75" customHeight="1" x14ac:dyDescent="0.2">
      <c r="A355" s="127">
        <v>2</v>
      </c>
      <c r="B355" s="128">
        <v>60.6</v>
      </c>
      <c r="C355" s="25">
        <f t="shared" si="76"/>
        <v>263781.18811881187</v>
      </c>
      <c r="D355" s="6">
        <v>15985140</v>
      </c>
      <c r="E355" s="128">
        <v>2</v>
      </c>
      <c r="F355" s="33" t="s">
        <v>36</v>
      </c>
      <c r="G355" s="5">
        <v>1</v>
      </c>
      <c r="H355" s="5">
        <f t="shared" si="77"/>
        <v>15985140</v>
      </c>
    </row>
    <row r="356" spans="1:8" ht="15.75" customHeight="1" x14ac:dyDescent="0.2">
      <c r="A356" s="127">
        <v>2</v>
      </c>
      <c r="B356" s="128">
        <v>60.6</v>
      </c>
      <c r="C356" s="25">
        <f t="shared" si="76"/>
        <v>268353.79537953797</v>
      </c>
      <c r="D356" s="6">
        <v>16262240</v>
      </c>
      <c r="E356" s="128">
        <v>4</v>
      </c>
      <c r="F356" s="33" t="s">
        <v>36</v>
      </c>
      <c r="G356" s="5">
        <v>1</v>
      </c>
      <c r="H356" s="5">
        <f t="shared" si="77"/>
        <v>16262240</v>
      </c>
    </row>
    <row r="357" spans="1:8" ht="15.75" customHeight="1" x14ac:dyDescent="0.2">
      <c r="A357" s="127">
        <v>2</v>
      </c>
      <c r="B357" s="128">
        <v>60.6</v>
      </c>
      <c r="C357" s="25">
        <f t="shared" si="76"/>
        <v>268796.03960396041</v>
      </c>
      <c r="D357" s="6">
        <v>16289040</v>
      </c>
      <c r="E357" s="128">
        <v>3</v>
      </c>
      <c r="F357" s="33" t="s">
        <v>36</v>
      </c>
      <c r="G357" s="5">
        <v>1</v>
      </c>
      <c r="H357" s="5">
        <f t="shared" si="77"/>
        <v>16289040</v>
      </c>
    </row>
    <row r="358" spans="1:8" ht="15.75" customHeight="1" x14ac:dyDescent="0.2">
      <c r="A358" s="127">
        <v>3</v>
      </c>
      <c r="B358" s="128">
        <v>60.6</v>
      </c>
      <c r="C358" s="25">
        <f t="shared" si="76"/>
        <v>269821.78217821784</v>
      </c>
      <c r="D358" s="6">
        <v>16351200</v>
      </c>
      <c r="E358" s="128">
        <v>1</v>
      </c>
      <c r="F358" s="33" t="s">
        <v>36</v>
      </c>
      <c r="G358" s="5">
        <v>1</v>
      </c>
      <c r="H358" s="5">
        <f t="shared" si="77"/>
        <v>16351200</v>
      </c>
    </row>
    <row r="359" spans="1:8" ht="15.75" customHeight="1" x14ac:dyDescent="0.2">
      <c r="A359" s="127">
        <v>3</v>
      </c>
      <c r="B359" s="128">
        <v>69.7</v>
      </c>
      <c r="C359" s="25">
        <f t="shared" si="76"/>
        <v>240688.6657101865</v>
      </c>
      <c r="D359" s="6">
        <v>16776000</v>
      </c>
      <c r="E359" s="128">
        <v>3</v>
      </c>
      <c r="F359" s="33" t="s">
        <v>36</v>
      </c>
      <c r="G359" s="5">
        <v>1</v>
      </c>
      <c r="H359" s="5">
        <f t="shared" si="77"/>
        <v>16776000</v>
      </c>
    </row>
    <row r="360" spans="1:8" ht="15.75" customHeight="1" x14ac:dyDescent="0.2">
      <c r="A360" s="127">
        <v>3</v>
      </c>
      <c r="B360" s="128">
        <v>69.7</v>
      </c>
      <c r="C360" s="25">
        <f t="shared" si="76"/>
        <v>240545.19368723099</v>
      </c>
      <c r="D360" s="6">
        <v>16766000</v>
      </c>
      <c r="E360" s="128">
        <v>2</v>
      </c>
      <c r="F360" s="33" t="s">
        <v>36</v>
      </c>
      <c r="G360" s="5">
        <v>1</v>
      </c>
      <c r="H360" s="5">
        <f t="shared" si="77"/>
        <v>16766000</v>
      </c>
    </row>
    <row r="361" spans="1:8" ht="15.75" customHeight="1" x14ac:dyDescent="0.2">
      <c r="A361" s="127">
        <v>3</v>
      </c>
      <c r="B361" s="128">
        <v>69.7</v>
      </c>
      <c r="C361" s="25">
        <f t="shared" si="76"/>
        <v>244964.84935437588</v>
      </c>
      <c r="D361" s="6">
        <v>17074050</v>
      </c>
      <c r="E361" s="128">
        <v>4</v>
      </c>
      <c r="F361" s="33" t="s">
        <v>36</v>
      </c>
      <c r="G361" s="5">
        <v>1</v>
      </c>
      <c r="H361" s="5">
        <f t="shared" si="77"/>
        <v>17074050</v>
      </c>
    </row>
    <row r="362" spans="1:8" ht="15.75" customHeight="1" x14ac:dyDescent="0.2">
      <c r="A362" s="127">
        <v>3</v>
      </c>
      <c r="B362" s="128">
        <v>69.7</v>
      </c>
      <c r="C362" s="25">
        <f t="shared" si="76"/>
        <v>225129.12482065996</v>
      </c>
      <c r="D362" s="6">
        <v>15691500</v>
      </c>
      <c r="E362" s="128">
        <v>5</v>
      </c>
      <c r="F362" s="33" t="s">
        <v>36</v>
      </c>
      <c r="G362" s="5">
        <v>1</v>
      </c>
      <c r="H362" s="5">
        <f t="shared" si="77"/>
        <v>15691500</v>
      </c>
    </row>
    <row r="363" spans="1:8" ht="15.75" customHeight="1" x14ac:dyDescent="0.2">
      <c r="A363" s="127">
        <v>3</v>
      </c>
      <c r="B363" s="128">
        <v>69.8</v>
      </c>
      <c r="C363" s="25">
        <f t="shared" si="76"/>
        <v>264278.65329512896</v>
      </c>
      <c r="D363" s="6">
        <v>18446650</v>
      </c>
      <c r="E363" s="128">
        <v>1</v>
      </c>
      <c r="F363" s="33" t="s">
        <v>36</v>
      </c>
      <c r="G363" s="5">
        <v>1</v>
      </c>
      <c r="H363" s="5">
        <f t="shared" si="77"/>
        <v>18446650</v>
      </c>
    </row>
    <row r="364" spans="1:8" ht="15.75" customHeight="1" x14ac:dyDescent="0.2">
      <c r="A364" s="127">
        <v>3</v>
      </c>
      <c r="B364" s="128">
        <v>70.5</v>
      </c>
      <c r="C364" s="25">
        <f t="shared" si="76"/>
        <v>265000</v>
      </c>
      <c r="D364" s="6">
        <v>18682500</v>
      </c>
      <c r="E364" s="128">
        <v>1</v>
      </c>
      <c r="F364" s="33" t="s">
        <v>36</v>
      </c>
      <c r="G364" s="5">
        <v>1</v>
      </c>
      <c r="H364" s="5">
        <f t="shared" si="77"/>
        <v>18682500</v>
      </c>
    </row>
    <row r="365" spans="1:8" ht="15.75" customHeight="1" x14ac:dyDescent="0.2">
      <c r="A365" s="127">
        <v>3</v>
      </c>
      <c r="B365" s="128">
        <v>71.7</v>
      </c>
      <c r="C365" s="25">
        <f t="shared" si="76"/>
        <v>258730.82287308227</v>
      </c>
      <c r="D365" s="6">
        <v>18551000</v>
      </c>
      <c r="E365" s="128">
        <v>1</v>
      </c>
      <c r="F365" s="33" t="s">
        <v>36</v>
      </c>
      <c r="G365" s="5">
        <v>1</v>
      </c>
      <c r="H365" s="5">
        <f t="shared" si="77"/>
        <v>18551000</v>
      </c>
    </row>
    <row r="366" spans="1:8" ht="15.75" customHeight="1" x14ac:dyDescent="0.2">
      <c r="A366" s="127">
        <v>3</v>
      </c>
      <c r="B366" s="128">
        <v>72.7</v>
      </c>
      <c r="C366" s="25">
        <f t="shared" si="76"/>
        <v>250171.93947730397</v>
      </c>
      <c r="D366" s="6">
        <v>18187500</v>
      </c>
      <c r="E366" s="128">
        <v>2</v>
      </c>
      <c r="F366" s="33" t="s">
        <v>36</v>
      </c>
      <c r="G366" s="5">
        <v>1</v>
      </c>
      <c r="H366" s="5">
        <f t="shared" si="77"/>
        <v>18187500</v>
      </c>
    </row>
    <row r="367" spans="1:8" ht="15.75" customHeight="1" x14ac:dyDescent="0.2">
      <c r="A367" s="127">
        <v>3</v>
      </c>
      <c r="B367" s="128">
        <v>72.7</v>
      </c>
      <c r="C367" s="25">
        <f t="shared" si="76"/>
        <v>255171.93947730397</v>
      </c>
      <c r="D367" s="6">
        <v>18551000</v>
      </c>
      <c r="E367" s="128">
        <v>3</v>
      </c>
      <c r="F367" s="33" t="s">
        <v>36</v>
      </c>
      <c r="G367" s="5">
        <v>1</v>
      </c>
      <c r="H367" s="5">
        <f t="shared" si="77"/>
        <v>18551000</v>
      </c>
    </row>
    <row r="368" spans="1:8" ht="15.75" customHeight="1" x14ac:dyDescent="0.2">
      <c r="A368" s="127">
        <v>3</v>
      </c>
      <c r="B368" s="128">
        <v>72.7</v>
      </c>
      <c r="C368" s="25">
        <f t="shared" si="76"/>
        <v>254333.56258596972</v>
      </c>
      <c r="D368" s="6">
        <v>18490050</v>
      </c>
      <c r="E368" s="128">
        <v>4</v>
      </c>
      <c r="F368" s="33" t="s">
        <v>36</v>
      </c>
      <c r="G368" s="5">
        <v>1</v>
      </c>
      <c r="H368" s="5">
        <f t="shared" si="77"/>
        <v>18490050</v>
      </c>
    </row>
    <row r="369" spans="1:8" ht="15.75" customHeight="1" x14ac:dyDescent="0.2">
      <c r="A369" s="127">
        <v>2</v>
      </c>
      <c r="B369" s="128">
        <v>78.5</v>
      </c>
      <c r="C369" s="25">
        <f t="shared" si="76"/>
        <v>255844.58598726115</v>
      </c>
      <c r="D369" s="6">
        <v>20083800</v>
      </c>
      <c r="E369" s="128">
        <v>2</v>
      </c>
      <c r="F369" s="33" t="s">
        <v>36</v>
      </c>
      <c r="G369" s="5">
        <v>1</v>
      </c>
      <c r="H369" s="5">
        <f t="shared" si="77"/>
        <v>20083800</v>
      </c>
    </row>
    <row r="370" spans="1:8" ht="15.75" customHeight="1" x14ac:dyDescent="0.2">
      <c r="A370" s="127">
        <v>2</v>
      </c>
      <c r="B370" s="128">
        <v>78.5</v>
      </c>
      <c r="C370" s="25">
        <f t="shared" si="76"/>
        <v>255844.58598726115</v>
      </c>
      <c r="D370" s="6">
        <v>20083800</v>
      </c>
      <c r="E370" s="128">
        <v>3</v>
      </c>
      <c r="F370" s="33" t="s">
        <v>36</v>
      </c>
      <c r="G370" s="5">
        <v>1</v>
      </c>
      <c r="H370" s="5">
        <f t="shared" si="77"/>
        <v>20083800</v>
      </c>
    </row>
    <row r="371" spans="1:8" ht="15.75" customHeight="1" x14ac:dyDescent="0.2">
      <c r="A371" s="127">
        <v>2</v>
      </c>
      <c r="B371" s="128">
        <v>78.5</v>
      </c>
      <c r="C371" s="25">
        <f t="shared" si="76"/>
        <v>265303.82165605098</v>
      </c>
      <c r="D371" s="6">
        <v>20826350</v>
      </c>
      <c r="E371" s="128">
        <v>4</v>
      </c>
      <c r="F371" s="33" t="s">
        <v>36</v>
      </c>
      <c r="G371" s="5">
        <v>1</v>
      </c>
      <c r="H371" s="5">
        <f t="shared" si="77"/>
        <v>20826350</v>
      </c>
    </row>
    <row r="372" spans="1:8" ht="15.75" customHeight="1" x14ac:dyDescent="0.2">
      <c r="A372" s="127">
        <v>3</v>
      </c>
      <c r="B372" s="128">
        <v>78.599999999999994</v>
      </c>
      <c r="C372" s="25">
        <f t="shared" si="76"/>
        <v>260099.23664122139</v>
      </c>
      <c r="D372" s="6">
        <v>20443800</v>
      </c>
      <c r="E372" s="128">
        <v>1</v>
      </c>
      <c r="F372" s="33" t="s">
        <v>36</v>
      </c>
      <c r="G372" s="5">
        <v>1</v>
      </c>
      <c r="H372" s="5">
        <f t="shared" si="77"/>
        <v>20443800</v>
      </c>
    </row>
    <row r="373" spans="1:8" ht="15.75" customHeight="1" x14ac:dyDescent="0.2">
      <c r="A373" s="127">
        <v>3</v>
      </c>
      <c r="B373" s="128">
        <v>79.5</v>
      </c>
      <c r="C373" s="25">
        <f t="shared" si="76"/>
        <v>246078.61635220126</v>
      </c>
      <c r="D373" s="6">
        <v>19563250</v>
      </c>
      <c r="E373" s="128">
        <v>3</v>
      </c>
      <c r="F373" s="33" t="s">
        <v>36</v>
      </c>
      <c r="G373" s="5">
        <v>1</v>
      </c>
      <c r="H373" s="5">
        <f t="shared" si="77"/>
        <v>19563250</v>
      </c>
    </row>
    <row r="374" spans="1:8" ht="15.75" customHeight="1" x14ac:dyDescent="0.2">
      <c r="A374" s="127">
        <v>3</v>
      </c>
      <c r="B374" s="128">
        <v>79.5</v>
      </c>
      <c r="C374" s="25">
        <f t="shared" si="76"/>
        <v>208928.30188679244</v>
      </c>
      <c r="D374" s="6">
        <v>16609800</v>
      </c>
      <c r="E374" s="128">
        <v>2</v>
      </c>
      <c r="F374" s="33" t="s">
        <v>36</v>
      </c>
      <c r="G374" s="5">
        <v>1</v>
      </c>
      <c r="H374" s="5">
        <f t="shared" si="77"/>
        <v>16609800</v>
      </c>
    </row>
    <row r="375" spans="1:8" ht="15.75" customHeight="1" x14ac:dyDescent="0.2">
      <c r="A375" s="127">
        <v>3</v>
      </c>
      <c r="B375" s="128">
        <v>79.5</v>
      </c>
      <c r="C375" s="25">
        <f t="shared" si="76"/>
        <v>250597.48427672955</v>
      </c>
      <c r="D375" s="6">
        <v>19922500</v>
      </c>
      <c r="E375" s="128">
        <v>4</v>
      </c>
      <c r="F375" s="33" t="s">
        <v>36</v>
      </c>
      <c r="G375" s="5">
        <v>1</v>
      </c>
      <c r="H375" s="5">
        <f t="shared" si="77"/>
        <v>19922500</v>
      </c>
    </row>
    <row r="376" spans="1:8" ht="15.75" customHeight="1" x14ac:dyDescent="0.2">
      <c r="A376" s="127">
        <v>3</v>
      </c>
      <c r="B376" s="128">
        <v>79.5</v>
      </c>
      <c r="C376" s="25">
        <f t="shared" si="76"/>
        <v>260130.81761006289</v>
      </c>
      <c r="D376" s="6">
        <v>20680400</v>
      </c>
      <c r="E376" s="128">
        <v>5</v>
      </c>
      <c r="F376" s="33" t="s">
        <v>36</v>
      </c>
      <c r="G376" s="5">
        <v>1</v>
      </c>
      <c r="H376" s="5">
        <f t="shared" si="77"/>
        <v>20680400</v>
      </c>
    </row>
    <row r="377" spans="1:8" ht="15.75" customHeight="1" x14ac:dyDescent="0.2">
      <c r="A377" s="127">
        <v>4</v>
      </c>
      <c r="B377" s="128">
        <v>80.900000000000006</v>
      </c>
      <c r="C377" s="25">
        <f t="shared" si="76"/>
        <v>245423.9802224969</v>
      </c>
      <c r="D377" s="6">
        <v>19854800</v>
      </c>
      <c r="E377" s="128">
        <v>2</v>
      </c>
      <c r="F377" s="33" t="s">
        <v>36</v>
      </c>
      <c r="G377" s="5">
        <v>1</v>
      </c>
      <c r="H377" s="4">
        <f t="shared" si="77"/>
        <v>19854800</v>
      </c>
    </row>
    <row r="378" spans="1:8" ht="15.75" customHeight="1" x14ac:dyDescent="0.2">
      <c r="A378" s="127">
        <v>4</v>
      </c>
      <c r="B378" s="128">
        <v>80.900000000000006</v>
      </c>
      <c r="C378" s="25">
        <f t="shared" si="76"/>
        <v>250370.82818294188</v>
      </c>
      <c r="D378" s="6">
        <v>20255000</v>
      </c>
      <c r="E378" s="128">
        <v>3</v>
      </c>
      <c r="F378" s="33" t="s">
        <v>36</v>
      </c>
      <c r="G378" s="5">
        <v>1</v>
      </c>
      <c r="H378" s="4">
        <f t="shared" si="77"/>
        <v>20255000</v>
      </c>
    </row>
    <row r="379" spans="1:8" ht="15.75" customHeight="1" x14ac:dyDescent="0.2">
      <c r="A379" s="127">
        <v>4</v>
      </c>
      <c r="B379" s="128">
        <v>80.900000000000006</v>
      </c>
      <c r="C379" s="25">
        <f t="shared" si="76"/>
        <v>250154.51174289244</v>
      </c>
      <c r="D379" s="6">
        <v>20237500</v>
      </c>
      <c r="E379" s="128">
        <v>4</v>
      </c>
      <c r="F379" s="33" t="s">
        <v>36</v>
      </c>
      <c r="G379" s="5">
        <v>1</v>
      </c>
      <c r="H379" s="4">
        <f t="shared" si="77"/>
        <v>20237500</v>
      </c>
    </row>
    <row r="380" spans="1:8" ht="15.75" customHeight="1" x14ac:dyDescent="0.2">
      <c r="A380" s="127">
        <v>4</v>
      </c>
      <c r="B380" s="128">
        <v>80.900000000000006</v>
      </c>
      <c r="C380" s="25">
        <f t="shared" si="76"/>
        <v>249752.78121137206</v>
      </c>
      <c r="D380" s="6">
        <v>20205000</v>
      </c>
      <c r="E380" s="128">
        <v>5</v>
      </c>
      <c r="F380" s="33" t="s">
        <v>36</v>
      </c>
      <c r="G380" s="5">
        <v>1</v>
      </c>
      <c r="H380" s="4">
        <f t="shared" si="77"/>
        <v>20205000</v>
      </c>
    </row>
    <row r="381" spans="1:8" ht="15.75" customHeight="1" x14ac:dyDescent="0.2">
      <c r="A381" s="127">
        <v>3</v>
      </c>
      <c r="B381" s="128">
        <v>84.9</v>
      </c>
      <c r="C381" s="25">
        <f t="shared" si="76"/>
        <v>250795.05300353354</v>
      </c>
      <c r="D381" s="6">
        <v>21292500</v>
      </c>
      <c r="E381" s="128">
        <v>2</v>
      </c>
      <c r="F381" s="33" t="s">
        <v>36</v>
      </c>
      <c r="G381" s="5">
        <v>1</v>
      </c>
      <c r="H381" s="4">
        <f t="shared" si="77"/>
        <v>21292500</v>
      </c>
    </row>
    <row r="382" spans="1:8" ht="15.75" customHeight="1" x14ac:dyDescent="0.2">
      <c r="A382" s="127">
        <v>3</v>
      </c>
      <c r="B382" s="128">
        <v>84.9</v>
      </c>
      <c r="C382" s="25">
        <f t="shared" si="76"/>
        <v>260826.8551236749</v>
      </c>
      <c r="D382" s="6">
        <v>22144200</v>
      </c>
      <c r="E382" s="128">
        <v>3</v>
      </c>
      <c r="F382" s="33" t="s">
        <v>36</v>
      </c>
      <c r="G382" s="5">
        <v>1</v>
      </c>
      <c r="H382" s="4">
        <f t="shared" si="77"/>
        <v>22144200</v>
      </c>
    </row>
    <row r="383" spans="1:8" ht="15.75" customHeight="1" x14ac:dyDescent="0.2">
      <c r="A383" s="127">
        <v>3</v>
      </c>
      <c r="B383" s="128">
        <v>84.9</v>
      </c>
      <c r="C383" s="25">
        <f t="shared" si="76"/>
        <v>260306.24263839811</v>
      </c>
      <c r="D383" s="6">
        <v>22100000</v>
      </c>
      <c r="E383" s="128">
        <v>4</v>
      </c>
      <c r="F383" s="33" t="s">
        <v>36</v>
      </c>
      <c r="G383" s="5">
        <v>1</v>
      </c>
      <c r="H383" s="4">
        <f t="shared" si="77"/>
        <v>22100000</v>
      </c>
    </row>
    <row r="384" spans="1:8" ht="15.75" customHeight="1" x14ac:dyDescent="0.2">
      <c r="A384" s="127">
        <v>4</v>
      </c>
      <c r="B384" s="128">
        <v>91.7</v>
      </c>
      <c r="C384" s="25">
        <f t="shared" si="76"/>
        <v>245000</v>
      </c>
      <c r="D384" s="6">
        <v>22466500</v>
      </c>
      <c r="E384" s="128">
        <v>1</v>
      </c>
      <c r="F384" s="33" t="s">
        <v>36</v>
      </c>
      <c r="G384" s="5">
        <v>1</v>
      </c>
      <c r="H384" s="3">
        <f t="shared" si="77"/>
        <v>22466500</v>
      </c>
    </row>
    <row r="385" spans="1:8" ht="15.75" customHeight="1" x14ac:dyDescent="0.2">
      <c r="A385" s="127">
        <v>3</v>
      </c>
      <c r="B385" s="128">
        <v>93.7</v>
      </c>
      <c r="C385" s="25">
        <f t="shared" si="76"/>
        <v>254945.57097118461</v>
      </c>
      <c r="D385" s="6">
        <v>23888400</v>
      </c>
      <c r="E385" s="128">
        <v>1</v>
      </c>
      <c r="F385" s="33" t="s">
        <v>36</v>
      </c>
      <c r="G385" s="5">
        <v>1</v>
      </c>
      <c r="H385" s="3">
        <f t="shared" si="77"/>
        <v>23888400</v>
      </c>
    </row>
    <row r="386" spans="1:8" ht="15.75" customHeight="1" x14ac:dyDescent="0.2">
      <c r="A386" s="127">
        <v>4</v>
      </c>
      <c r="B386" s="128">
        <v>99</v>
      </c>
      <c r="C386" s="25">
        <f t="shared" si="76"/>
        <v>240751.51515151514</v>
      </c>
      <c r="D386" s="6">
        <v>23834400</v>
      </c>
      <c r="E386" s="128">
        <v>2</v>
      </c>
      <c r="F386" s="33" t="s">
        <v>36</v>
      </c>
      <c r="G386" s="5">
        <v>1</v>
      </c>
      <c r="H386" s="3">
        <f t="shared" si="77"/>
        <v>23834400</v>
      </c>
    </row>
    <row r="387" spans="1:8" ht="15.75" customHeight="1" x14ac:dyDescent="0.2">
      <c r="A387" s="127">
        <v>4</v>
      </c>
      <c r="B387" s="128">
        <v>99</v>
      </c>
      <c r="C387" s="25">
        <f t="shared" si="76"/>
        <v>245371.21212121213</v>
      </c>
      <c r="D387" s="6">
        <v>24291750</v>
      </c>
      <c r="E387" s="128">
        <v>4</v>
      </c>
      <c r="F387" s="33" t="s">
        <v>36</v>
      </c>
      <c r="G387" s="5">
        <v>1</v>
      </c>
      <c r="H387" s="3">
        <f t="shared" si="77"/>
        <v>24291750</v>
      </c>
    </row>
    <row r="388" spans="1:8" ht="15.75" customHeight="1" x14ac:dyDescent="0.2">
      <c r="A388" s="127">
        <v>4</v>
      </c>
      <c r="B388" s="128">
        <v>101.6</v>
      </c>
      <c r="C388" s="25">
        <f t="shared" si="76"/>
        <v>237396.16141732284</v>
      </c>
      <c r="D388" s="6">
        <v>24119450</v>
      </c>
      <c r="E388" s="128">
        <v>1</v>
      </c>
      <c r="F388" s="33" t="s">
        <v>36</v>
      </c>
      <c r="G388" s="5">
        <v>1</v>
      </c>
      <c r="H388" s="3">
        <f t="shared" si="77"/>
        <v>24119450</v>
      </c>
    </row>
    <row r="389" spans="1:8" ht="15.75" customHeight="1" x14ac:dyDescent="0.2">
      <c r="A389" s="127">
        <v>4</v>
      </c>
      <c r="B389" s="128">
        <v>106.2</v>
      </c>
      <c r="C389" s="25">
        <f t="shared" si="76"/>
        <v>299971.75141242938</v>
      </c>
      <c r="D389" s="6">
        <v>31857000</v>
      </c>
      <c r="E389" s="128">
        <v>5</v>
      </c>
      <c r="F389" s="33" t="s">
        <v>36</v>
      </c>
      <c r="G389" s="5">
        <v>1</v>
      </c>
      <c r="H389" s="3">
        <f t="shared" si="77"/>
        <v>31857000</v>
      </c>
    </row>
    <row r="390" spans="1:8" ht="15.75" customHeight="1" x14ac:dyDescent="0.2">
      <c r="A390" s="299" t="s">
        <v>299</v>
      </c>
      <c r="B390" s="294"/>
      <c r="C390" s="294"/>
      <c r="D390" s="294"/>
      <c r="E390" s="294"/>
      <c r="F390" s="294"/>
      <c r="G390" s="34" t="s">
        <v>298</v>
      </c>
      <c r="H390" s="3"/>
    </row>
    <row r="391" spans="1:8" ht="15.75" customHeight="1" x14ac:dyDescent="0.2">
      <c r="A391" s="127">
        <v>1</v>
      </c>
      <c r="B391" s="128">
        <v>32.299999999999997</v>
      </c>
      <c r="C391" s="25">
        <f t="shared" ref="C391:C420" si="78">D391/B391</f>
        <v>156951.3931888545</v>
      </c>
      <c r="D391" s="6">
        <v>5069530</v>
      </c>
      <c r="E391" s="128">
        <v>4</v>
      </c>
      <c r="F391" s="5" t="s">
        <v>13</v>
      </c>
      <c r="G391" s="5">
        <v>1</v>
      </c>
      <c r="H391" s="5">
        <f t="shared" ref="H391:H420" si="79">G391*D391</f>
        <v>5069530</v>
      </c>
    </row>
    <row r="392" spans="1:8" ht="15.75" customHeight="1" x14ac:dyDescent="0.2">
      <c r="A392" s="127">
        <v>1</v>
      </c>
      <c r="B392" s="128">
        <v>32.299999999999997</v>
      </c>
      <c r="C392" s="25">
        <f t="shared" si="78"/>
        <v>154921.05263157896</v>
      </c>
      <c r="D392" s="6">
        <v>5003950</v>
      </c>
      <c r="E392" s="128">
        <v>2</v>
      </c>
      <c r="F392" s="5" t="s">
        <v>13</v>
      </c>
      <c r="G392" s="5">
        <v>1</v>
      </c>
      <c r="H392" s="5">
        <f t="shared" si="79"/>
        <v>5003950</v>
      </c>
    </row>
    <row r="393" spans="1:8" ht="15.75" customHeight="1" x14ac:dyDescent="0.2">
      <c r="A393" s="127">
        <v>1</v>
      </c>
      <c r="B393" s="128">
        <v>32.299999999999997</v>
      </c>
      <c r="C393" s="25">
        <f t="shared" si="78"/>
        <v>150953.25077399382</v>
      </c>
      <c r="D393" s="6">
        <v>4875790</v>
      </c>
      <c r="E393" s="128">
        <v>1</v>
      </c>
      <c r="F393" s="5" t="s">
        <v>13</v>
      </c>
      <c r="G393" s="5">
        <v>1</v>
      </c>
      <c r="H393" s="5">
        <f t="shared" si="79"/>
        <v>4875790</v>
      </c>
    </row>
    <row r="394" spans="1:8" ht="15.75" customHeight="1" x14ac:dyDescent="0.2">
      <c r="A394" s="127">
        <v>1</v>
      </c>
      <c r="B394" s="128">
        <v>33</v>
      </c>
      <c r="C394" s="25">
        <f t="shared" si="78"/>
        <v>149772.72727272726</v>
      </c>
      <c r="D394" s="6">
        <v>4942500</v>
      </c>
      <c r="E394" s="128">
        <v>1</v>
      </c>
      <c r="F394" s="5" t="s">
        <v>13</v>
      </c>
      <c r="G394" s="5">
        <v>1</v>
      </c>
      <c r="H394" s="5">
        <f t="shared" si="79"/>
        <v>4942500</v>
      </c>
    </row>
    <row r="395" spans="1:8" ht="15.75" customHeight="1" x14ac:dyDescent="0.2">
      <c r="A395" s="127">
        <v>1</v>
      </c>
      <c r="B395" s="128">
        <v>33</v>
      </c>
      <c r="C395" s="25">
        <f t="shared" ref="C395" si="80">D395/B395</f>
        <v>149772.72727272726</v>
      </c>
      <c r="D395" s="6">
        <v>4942500</v>
      </c>
      <c r="E395" s="128">
        <v>1</v>
      </c>
      <c r="F395" s="5" t="s">
        <v>13</v>
      </c>
      <c r="G395" s="5">
        <v>1</v>
      </c>
      <c r="H395" s="5">
        <f t="shared" ref="H395" si="81">G395*D395</f>
        <v>4942500</v>
      </c>
    </row>
    <row r="396" spans="1:8" ht="15.75" customHeight="1" x14ac:dyDescent="0.2">
      <c r="A396" s="127">
        <v>1</v>
      </c>
      <c r="B396" s="128">
        <v>33</v>
      </c>
      <c r="C396" s="25">
        <f t="shared" si="78"/>
        <v>154765.15151515152</v>
      </c>
      <c r="D396" s="6">
        <v>5107250</v>
      </c>
      <c r="E396" s="128">
        <v>2</v>
      </c>
      <c r="F396" s="5" t="s">
        <v>13</v>
      </c>
      <c r="G396" s="5">
        <v>1</v>
      </c>
      <c r="H396" s="5">
        <f t="shared" si="79"/>
        <v>5107250</v>
      </c>
    </row>
    <row r="397" spans="1:8" ht="15.75" customHeight="1" x14ac:dyDescent="0.2">
      <c r="A397" s="127">
        <v>1</v>
      </c>
      <c r="B397" s="128">
        <v>33</v>
      </c>
      <c r="C397" s="25">
        <f t="shared" si="78"/>
        <v>155763.63636363635</v>
      </c>
      <c r="D397" s="6">
        <v>5140200</v>
      </c>
      <c r="E397" s="128">
        <v>3</v>
      </c>
      <c r="F397" s="5" t="s">
        <v>13</v>
      </c>
      <c r="G397" s="5">
        <v>1</v>
      </c>
      <c r="H397" s="5">
        <f t="shared" si="79"/>
        <v>5140200</v>
      </c>
    </row>
    <row r="398" spans="1:8" ht="15.75" customHeight="1" x14ac:dyDescent="0.2">
      <c r="A398" s="127">
        <v>1</v>
      </c>
      <c r="B398" s="128">
        <v>33</v>
      </c>
      <c r="C398" s="25">
        <f t="shared" ref="C398" si="82">D398/B398</f>
        <v>155763.63636363635</v>
      </c>
      <c r="D398" s="6">
        <v>5140200</v>
      </c>
      <c r="E398" s="128">
        <v>3</v>
      </c>
      <c r="F398" s="5" t="s">
        <v>13</v>
      </c>
      <c r="G398" s="5">
        <v>1</v>
      </c>
      <c r="H398" s="5">
        <f t="shared" ref="H398" si="83">G398*D398</f>
        <v>5140200</v>
      </c>
    </row>
    <row r="399" spans="1:8" ht="15.75" customHeight="1" x14ac:dyDescent="0.2">
      <c r="A399" s="127">
        <v>1</v>
      </c>
      <c r="B399" s="128">
        <v>33</v>
      </c>
      <c r="C399" s="25">
        <f t="shared" si="78"/>
        <v>156762.12121212122</v>
      </c>
      <c r="D399" s="6">
        <v>5173150</v>
      </c>
      <c r="E399" s="128">
        <v>4</v>
      </c>
      <c r="F399" s="5" t="s">
        <v>13</v>
      </c>
      <c r="G399" s="5">
        <v>1</v>
      </c>
      <c r="H399" s="5">
        <f t="shared" si="79"/>
        <v>5173150</v>
      </c>
    </row>
    <row r="400" spans="1:8" ht="15.75" customHeight="1" x14ac:dyDescent="0.2">
      <c r="A400" s="127">
        <v>1</v>
      </c>
      <c r="B400" s="128">
        <v>33.799999999999997</v>
      </c>
      <c r="C400" s="25">
        <f t="shared" si="78"/>
        <v>152864.20118343196</v>
      </c>
      <c r="D400" s="6">
        <v>5166810</v>
      </c>
      <c r="E400" s="128">
        <v>2</v>
      </c>
      <c r="F400" s="5" t="s">
        <v>13</v>
      </c>
      <c r="G400" s="5">
        <v>1</v>
      </c>
      <c r="H400" s="5">
        <f t="shared" si="79"/>
        <v>5166810</v>
      </c>
    </row>
    <row r="401" spans="1:8" ht="15.75" customHeight="1" x14ac:dyDescent="0.2">
      <c r="A401" s="127">
        <v>1</v>
      </c>
      <c r="B401" s="128">
        <v>33.799999999999997</v>
      </c>
      <c r="C401" s="25">
        <f t="shared" si="78"/>
        <v>154862.42603550298</v>
      </c>
      <c r="D401" s="6">
        <v>5234350</v>
      </c>
      <c r="E401" s="128">
        <v>3</v>
      </c>
      <c r="F401" s="5" t="s">
        <v>13</v>
      </c>
      <c r="G401" s="5">
        <v>1</v>
      </c>
      <c r="H401" s="5">
        <f t="shared" si="79"/>
        <v>5234350</v>
      </c>
    </row>
    <row r="402" spans="1:8" ht="15.75" customHeight="1" x14ac:dyDescent="0.2">
      <c r="A402" s="127">
        <v>1</v>
      </c>
      <c r="B402" s="128">
        <v>33.799999999999997</v>
      </c>
      <c r="C402" s="25">
        <f t="shared" si="78"/>
        <v>155861.53846153847</v>
      </c>
      <c r="D402" s="6">
        <v>5268120</v>
      </c>
      <c r="E402" s="128">
        <v>4</v>
      </c>
      <c r="F402" s="5" t="s">
        <v>13</v>
      </c>
      <c r="G402" s="5">
        <v>1</v>
      </c>
      <c r="H402" s="5">
        <f t="shared" si="79"/>
        <v>5268120</v>
      </c>
    </row>
    <row r="403" spans="1:8" ht="15.75" customHeight="1" x14ac:dyDescent="0.2">
      <c r="A403" s="127">
        <v>1</v>
      </c>
      <c r="B403" s="128">
        <v>36.799999999999997</v>
      </c>
      <c r="C403" s="25">
        <f t="shared" si="78"/>
        <v>150794.83695652176</v>
      </c>
      <c r="D403" s="6">
        <v>5549250</v>
      </c>
      <c r="E403" s="128">
        <v>1</v>
      </c>
      <c r="F403" s="5" t="s">
        <v>13</v>
      </c>
      <c r="G403" s="5">
        <v>1</v>
      </c>
      <c r="H403" s="5">
        <f t="shared" si="79"/>
        <v>5549250</v>
      </c>
    </row>
    <row r="404" spans="1:8" ht="15.75" customHeight="1" x14ac:dyDescent="0.2">
      <c r="A404" s="127">
        <v>1</v>
      </c>
      <c r="B404" s="128">
        <v>36.799999999999997</v>
      </c>
      <c r="C404" s="25">
        <f t="shared" si="78"/>
        <v>150794.83695652176</v>
      </c>
      <c r="D404" s="6">
        <v>5549250</v>
      </c>
      <c r="E404" s="128">
        <v>1</v>
      </c>
      <c r="F404" s="5" t="s">
        <v>13</v>
      </c>
      <c r="G404" s="5">
        <v>1</v>
      </c>
      <c r="H404" s="5">
        <f t="shared" si="79"/>
        <v>5549250</v>
      </c>
    </row>
    <row r="405" spans="1:8" ht="15.75" customHeight="1" x14ac:dyDescent="0.2">
      <c r="A405" s="127">
        <v>1</v>
      </c>
      <c r="B405" s="128">
        <v>36.799999999999997</v>
      </c>
      <c r="C405" s="25">
        <f t="shared" si="78"/>
        <v>152792.11956521741</v>
      </c>
      <c r="D405" s="6">
        <v>5622750</v>
      </c>
      <c r="E405" s="128">
        <v>2</v>
      </c>
      <c r="F405" s="5" t="s">
        <v>13</v>
      </c>
      <c r="G405" s="5">
        <v>1</v>
      </c>
      <c r="H405" s="5">
        <f t="shared" si="79"/>
        <v>5622750</v>
      </c>
    </row>
    <row r="406" spans="1:8" ht="15.75" customHeight="1" x14ac:dyDescent="0.2">
      <c r="A406" s="127">
        <v>1</v>
      </c>
      <c r="B406" s="128">
        <v>36.799999999999997</v>
      </c>
      <c r="C406" s="25">
        <f t="shared" si="78"/>
        <v>152792.11956521741</v>
      </c>
      <c r="D406" s="6">
        <v>5622750</v>
      </c>
      <c r="E406" s="128">
        <v>2</v>
      </c>
      <c r="F406" s="5" t="s">
        <v>13</v>
      </c>
      <c r="G406" s="5">
        <v>1</v>
      </c>
      <c r="H406" s="5">
        <f t="shared" si="79"/>
        <v>5622750</v>
      </c>
    </row>
    <row r="407" spans="1:8" ht="15.75" customHeight="1" x14ac:dyDescent="0.2">
      <c r="A407" s="127">
        <v>1</v>
      </c>
      <c r="B407" s="128">
        <v>36.799999999999997</v>
      </c>
      <c r="C407" s="25">
        <f t="shared" si="78"/>
        <v>153790.76086956522</v>
      </c>
      <c r="D407" s="6">
        <v>5659500</v>
      </c>
      <c r="E407" s="128">
        <v>3</v>
      </c>
      <c r="F407" s="5" t="s">
        <v>13</v>
      </c>
      <c r="G407" s="5">
        <v>1</v>
      </c>
      <c r="H407" s="5">
        <f t="shared" si="79"/>
        <v>5659500</v>
      </c>
    </row>
    <row r="408" spans="1:8" ht="15.75" customHeight="1" x14ac:dyDescent="0.2">
      <c r="A408" s="127">
        <v>1</v>
      </c>
      <c r="B408" s="128">
        <v>36.799999999999997</v>
      </c>
      <c r="C408" s="25">
        <f t="shared" si="78"/>
        <v>155788.04347826089</v>
      </c>
      <c r="D408" s="6">
        <v>5733000</v>
      </c>
      <c r="E408" s="128">
        <v>4</v>
      </c>
      <c r="F408" s="5" t="s">
        <v>13</v>
      </c>
      <c r="G408" s="5">
        <v>1</v>
      </c>
      <c r="H408" s="5">
        <f t="shared" si="79"/>
        <v>5733000</v>
      </c>
    </row>
    <row r="409" spans="1:8" ht="15.75" customHeight="1" x14ac:dyDescent="0.2">
      <c r="A409" s="127">
        <v>1</v>
      </c>
      <c r="B409" s="128">
        <v>36.799999999999997</v>
      </c>
      <c r="C409" s="25">
        <f t="shared" si="78"/>
        <v>154789.40217391305</v>
      </c>
      <c r="D409" s="6">
        <v>5696250</v>
      </c>
      <c r="E409" s="128">
        <v>3</v>
      </c>
      <c r="F409" s="5" t="s">
        <v>13</v>
      </c>
      <c r="G409" s="5">
        <v>1</v>
      </c>
      <c r="H409" s="5">
        <f t="shared" si="79"/>
        <v>5696250</v>
      </c>
    </row>
    <row r="410" spans="1:8" ht="15.75" customHeight="1" x14ac:dyDescent="0.2">
      <c r="A410" s="127">
        <v>1</v>
      </c>
      <c r="B410" s="128">
        <v>39.1</v>
      </c>
      <c r="C410" s="25">
        <f t="shared" si="78"/>
        <v>143146.29156010228</v>
      </c>
      <c r="D410" s="6">
        <v>5597020</v>
      </c>
      <c r="E410" s="128">
        <v>1</v>
      </c>
      <c r="F410" s="5" t="s">
        <v>13</v>
      </c>
      <c r="G410" s="5">
        <v>1</v>
      </c>
      <c r="H410" s="5">
        <f t="shared" si="79"/>
        <v>5597020</v>
      </c>
    </row>
    <row r="411" spans="1:8" ht="15.75" customHeight="1" x14ac:dyDescent="0.2">
      <c r="A411" s="127">
        <v>1</v>
      </c>
      <c r="B411" s="128">
        <v>39.1</v>
      </c>
      <c r="C411" s="25">
        <f t="shared" si="78"/>
        <v>146149.36061381074</v>
      </c>
      <c r="D411" s="6">
        <v>5714440</v>
      </c>
      <c r="E411" s="128">
        <v>2</v>
      </c>
      <c r="F411" s="5" t="s">
        <v>13</v>
      </c>
      <c r="G411" s="5">
        <v>1</v>
      </c>
      <c r="H411" s="5">
        <f t="shared" si="79"/>
        <v>5714440</v>
      </c>
    </row>
    <row r="412" spans="1:8" ht="15.75" customHeight="1" x14ac:dyDescent="0.2">
      <c r="A412" s="127">
        <v>1</v>
      </c>
      <c r="B412" s="128">
        <v>39.1</v>
      </c>
      <c r="C412" s="25">
        <f t="shared" si="78"/>
        <v>148151.40664961637</v>
      </c>
      <c r="D412" s="6">
        <v>5792720</v>
      </c>
      <c r="E412" s="128">
        <v>3</v>
      </c>
      <c r="F412" s="5" t="s">
        <v>13</v>
      </c>
      <c r="G412" s="5">
        <v>1</v>
      </c>
      <c r="H412" s="5">
        <f t="shared" si="79"/>
        <v>5792720</v>
      </c>
    </row>
    <row r="413" spans="1:8" ht="15.75" customHeight="1" x14ac:dyDescent="0.2">
      <c r="A413" s="127">
        <v>1</v>
      </c>
      <c r="B413" s="128">
        <v>39.1</v>
      </c>
      <c r="C413" s="25">
        <f t="shared" si="78"/>
        <v>151154.4757033248</v>
      </c>
      <c r="D413" s="6">
        <v>5910140</v>
      </c>
      <c r="E413" s="128">
        <v>4</v>
      </c>
      <c r="F413" s="5" t="s">
        <v>13</v>
      </c>
      <c r="G413" s="5">
        <v>1</v>
      </c>
      <c r="H413" s="5">
        <f t="shared" si="79"/>
        <v>5910140</v>
      </c>
    </row>
    <row r="414" spans="1:8" ht="15.75" customHeight="1" x14ac:dyDescent="0.2">
      <c r="A414" s="127">
        <v>1</v>
      </c>
      <c r="B414" s="128">
        <v>39.4</v>
      </c>
      <c r="C414" s="25">
        <f t="shared" si="78"/>
        <v>148112.69035532995</v>
      </c>
      <c r="D414" s="6">
        <v>5835640</v>
      </c>
      <c r="E414" s="128">
        <v>2</v>
      </c>
      <c r="F414" s="5" t="s">
        <v>13</v>
      </c>
      <c r="G414" s="5">
        <v>1</v>
      </c>
      <c r="H414" s="5">
        <f t="shared" si="79"/>
        <v>5835640</v>
      </c>
    </row>
    <row r="415" spans="1:8" ht="15.75" customHeight="1" x14ac:dyDescent="0.2">
      <c r="A415" s="127">
        <v>1</v>
      </c>
      <c r="B415" s="128">
        <v>39.4</v>
      </c>
      <c r="C415" s="25">
        <f t="shared" si="78"/>
        <v>148886.54822335026</v>
      </c>
      <c r="D415" s="6">
        <v>5866130</v>
      </c>
      <c r="E415" s="128">
        <v>3</v>
      </c>
      <c r="F415" s="5" t="s">
        <v>13</v>
      </c>
      <c r="G415" s="5">
        <v>1</v>
      </c>
      <c r="H415" s="5">
        <f t="shared" si="79"/>
        <v>5866130</v>
      </c>
    </row>
    <row r="416" spans="1:8" ht="15.75" customHeight="1" x14ac:dyDescent="0.2">
      <c r="A416" s="127">
        <v>1</v>
      </c>
      <c r="B416" s="128">
        <v>39.4</v>
      </c>
      <c r="C416" s="25">
        <f t="shared" si="78"/>
        <v>149113.45177664974</v>
      </c>
      <c r="D416" s="6">
        <v>5875070</v>
      </c>
      <c r="E416" s="128">
        <v>3</v>
      </c>
      <c r="F416" s="5" t="s">
        <v>13</v>
      </c>
      <c r="G416" s="5">
        <v>1</v>
      </c>
      <c r="H416" s="5">
        <f t="shared" si="79"/>
        <v>5875070</v>
      </c>
    </row>
    <row r="417" spans="1:8" ht="15.75" customHeight="1" x14ac:dyDescent="0.2">
      <c r="A417" s="127">
        <v>1</v>
      </c>
      <c r="B417" s="128">
        <v>39.4</v>
      </c>
      <c r="C417" s="25">
        <f t="shared" si="78"/>
        <v>151884.26395939087</v>
      </c>
      <c r="D417" s="6">
        <v>5984240</v>
      </c>
      <c r="E417" s="128">
        <v>4</v>
      </c>
      <c r="F417" s="5" t="s">
        <v>13</v>
      </c>
      <c r="G417" s="5">
        <v>1</v>
      </c>
      <c r="H417" s="5">
        <f t="shared" si="79"/>
        <v>5984240</v>
      </c>
    </row>
    <row r="418" spans="1:8" ht="15.75" customHeight="1" x14ac:dyDescent="0.2">
      <c r="A418" s="127">
        <v>1</v>
      </c>
      <c r="B418" s="128">
        <v>39.4</v>
      </c>
      <c r="C418" s="25">
        <f t="shared" si="78"/>
        <v>152115.73604060913</v>
      </c>
      <c r="D418" s="6">
        <v>5993360</v>
      </c>
      <c r="E418" s="128">
        <v>4</v>
      </c>
      <c r="F418" s="5" t="s">
        <v>13</v>
      </c>
      <c r="G418" s="5">
        <v>1</v>
      </c>
      <c r="H418" s="5">
        <f t="shared" si="79"/>
        <v>5993360</v>
      </c>
    </row>
    <row r="419" spans="1:8" ht="15.75" customHeight="1" x14ac:dyDescent="0.2">
      <c r="A419" s="127">
        <v>1</v>
      </c>
      <c r="B419" s="128">
        <v>40.200000000000003</v>
      </c>
      <c r="C419" s="25">
        <f t="shared" si="78"/>
        <v>144891.7910447761</v>
      </c>
      <c r="D419" s="6">
        <v>5824650</v>
      </c>
      <c r="E419" s="128">
        <v>2</v>
      </c>
      <c r="F419" s="5" t="s">
        <v>13</v>
      </c>
      <c r="G419" s="5">
        <v>1</v>
      </c>
      <c r="H419" s="5">
        <f t="shared" si="79"/>
        <v>5824650</v>
      </c>
    </row>
    <row r="420" spans="1:8" ht="15.75" customHeight="1" x14ac:dyDescent="0.2">
      <c r="A420" s="127">
        <v>1</v>
      </c>
      <c r="B420" s="128">
        <v>40.200000000000003</v>
      </c>
      <c r="C420" s="25">
        <f t="shared" si="78"/>
        <v>145891.04477611938</v>
      </c>
      <c r="D420" s="6">
        <v>5864820</v>
      </c>
      <c r="E420" s="128">
        <v>3</v>
      </c>
      <c r="F420" s="5" t="s">
        <v>13</v>
      </c>
      <c r="G420" s="5">
        <v>1</v>
      </c>
      <c r="H420" s="5">
        <f t="shared" si="79"/>
        <v>5864820</v>
      </c>
    </row>
    <row r="421" spans="1:8" ht="15.75" customHeight="1" x14ac:dyDescent="0.2">
      <c r="A421" s="127">
        <v>1</v>
      </c>
      <c r="B421" s="128">
        <v>40.200000000000003</v>
      </c>
      <c r="C421" s="25">
        <f t="shared" ref="C421:C450" si="84">D421/B421</f>
        <v>147889.55223880595</v>
      </c>
      <c r="D421" s="6">
        <v>5945160</v>
      </c>
      <c r="E421" s="128">
        <v>4</v>
      </c>
      <c r="F421" s="5" t="s">
        <v>13</v>
      </c>
      <c r="G421" s="5">
        <v>1</v>
      </c>
      <c r="H421" s="5">
        <f t="shared" ref="H421:H450" si="85">G421*D421</f>
        <v>5945160</v>
      </c>
    </row>
    <row r="422" spans="1:8" ht="15.75" customHeight="1" x14ac:dyDescent="0.2">
      <c r="A422" s="127">
        <v>1</v>
      </c>
      <c r="B422" s="128">
        <v>40.6</v>
      </c>
      <c r="C422" s="25">
        <f t="shared" si="84"/>
        <v>143000</v>
      </c>
      <c r="D422" s="6">
        <v>5805800</v>
      </c>
      <c r="E422" s="128">
        <v>2</v>
      </c>
      <c r="F422" s="5" t="s">
        <v>13</v>
      </c>
      <c r="G422" s="5">
        <v>1</v>
      </c>
      <c r="H422" s="5">
        <f t="shared" si="85"/>
        <v>5805800</v>
      </c>
    </row>
    <row r="423" spans="1:8" ht="15.75" customHeight="1" x14ac:dyDescent="0.2">
      <c r="A423" s="127">
        <v>1</v>
      </c>
      <c r="B423" s="128">
        <v>40.6</v>
      </c>
      <c r="C423" s="25">
        <f t="shared" si="84"/>
        <v>145000</v>
      </c>
      <c r="D423" s="6">
        <v>5887000</v>
      </c>
      <c r="E423" s="128">
        <v>3</v>
      </c>
      <c r="F423" s="5" t="s">
        <v>13</v>
      </c>
      <c r="G423" s="5">
        <v>1</v>
      </c>
      <c r="H423" s="5">
        <f t="shared" si="85"/>
        <v>5887000</v>
      </c>
    </row>
    <row r="424" spans="1:8" ht="15.75" customHeight="1" x14ac:dyDescent="0.2">
      <c r="A424" s="127">
        <v>1</v>
      </c>
      <c r="B424" s="128">
        <v>40.6</v>
      </c>
      <c r="C424" s="25">
        <f t="shared" si="84"/>
        <v>145000</v>
      </c>
      <c r="D424" s="6">
        <v>5887000</v>
      </c>
      <c r="E424" s="128">
        <v>4</v>
      </c>
      <c r="F424" s="5" t="s">
        <v>13</v>
      </c>
      <c r="G424" s="5">
        <v>1</v>
      </c>
      <c r="H424" s="5">
        <f t="shared" si="85"/>
        <v>5887000</v>
      </c>
    </row>
    <row r="425" spans="1:8" ht="15.75" customHeight="1" x14ac:dyDescent="0.2">
      <c r="A425" s="127">
        <v>1</v>
      </c>
      <c r="B425" s="128">
        <v>40.6</v>
      </c>
      <c r="C425" s="239">
        <f t="shared" si="84"/>
        <v>144753.69458128078</v>
      </c>
      <c r="D425" s="6">
        <v>5877000</v>
      </c>
      <c r="E425" s="128">
        <v>4</v>
      </c>
      <c r="F425" s="5" t="s">
        <v>13</v>
      </c>
      <c r="G425" s="5">
        <v>1</v>
      </c>
      <c r="H425" s="5">
        <f t="shared" si="85"/>
        <v>5877000</v>
      </c>
    </row>
    <row r="426" spans="1:8" ht="15.75" customHeight="1" x14ac:dyDescent="0.2">
      <c r="A426" s="127">
        <v>1</v>
      </c>
      <c r="B426" s="128">
        <v>40.700000000000003</v>
      </c>
      <c r="C426" s="25">
        <f t="shared" si="84"/>
        <v>142139.55773955773</v>
      </c>
      <c r="D426" s="6">
        <v>5785080</v>
      </c>
      <c r="E426" s="128">
        <v>2</v>
      </c>
      <c r="F426" s="5" t="s">
        <v>13</v>
      </c>
      <c r="G426" s="5">
        <v>1</v>
      </c>
      <c r="H426" s="5">
        <f t="shared" si="85"/>
        <v>5785080</v>
      </c>
    </row>
    <row r="427" spans="1:8" ht="15.75" customHeight="1" x14ac:dyDescent="0.2">
      <c r="A427" s="127">
        <v>1</v>
      </c>
      <c r="B427" s="128">
        <v>40.700000000000003</v>
      </c>
      <c r="C427" s="25">
        <f t="shared" ref="C427" si="86">D427/B427</f>
        <v>143139.06633906634</v>
      </c>
      <c r="D427" s="6">
        <v>5825760</v>
      </c>
      <c r="E427" s="128">
        <v>2</v>
      </c>
      <c r="F427" s="5" t="s">
        <v>13</v>
      </c>
      <c r="G427" s="5">
        <v>1</v>
      </c>
      <c r="H427" s="5">
        <f t="shared" ref="H427" si="87">G427*D427</f>
        <v>5825760</v>
      </c>
    </row>
    <row r="428" spans="1:8" ht="15.75" customHeight="1" x14ac:dyDescent="0.2">
      <c r="A428" s="127">
        <v>1</v>
      </c>
      <c r="B428" s="128">
        <v>40.700000000000003</v>
      </c>
      <c r="C428" s="25">
        <f t="shared" si="84"/>
        <v>144141.52334152334</v>
      </c>
      <c r="D428" s="6">
        <v>5866560</v>
      </c>
      <c r="E428" s="128">
        <v>3</v>
      </c>
      <c r="F428" s="5" t="s">
        <v>13</v>
      </c>
      <c r="G428" s="5">
        <v>1</v>
      </c>
      <c r="H428" s="5">
        <f t="shared" si="85"/>
        <v>5866560</v>
      </c>
    </row>
    <row r="429" spans="1:8" ht="15.75" customHeight="1" x14ac:dyDescent="0.2">
      <c r="A429" s="127">
        <v>1</v>
      </c>
      <c r="B429" s="128">
        <v>40.700000000000003</v>
      </c>
      <c r="C429" s="25">
        <f t="shared" si="84"/>
        <v>146143.48894348892</v>
      </c>
      <c r="D429" s="6">
        <v>5948040</v>
      </c>
      <c r="E429" s="128">
        <v>4</v>
      </c>
      <c r="F429" s="5" t="s">
        <v>13</v>
      </c>
      <c r="G429" s="5">
        <v>1</v>
      </c>
      <c r="H429" s="5">
        <f t="shared" si="85"/>
        <v>5948040</v>
      </c>
    </row>
    <row r="430" spans="1:8" ht="15.75" customHeight="1" x14ac:dyDescent="0.2">
      <c r="A430" s="127">
        <v>1</v>
      </c>
      <c r="B430" s="128">
        <v>41.4</v>
      </c>
      <c r="C430" s="25">
        <f t="shared" si="84"/>
        <v>141068.11594202899</v>
      </c>
      <c r="D430" s="6">
        <v>5840220</v>
      </c>
      <c r="E430" s="128">
        <v>1</v>
      </c>
      <c r="F430" s="5" t="s">
        <v>13</v>
      </c>
      <c r="G430" s="5">
        <v>1</v>
      </c>
      <c r="H430" s="5">
        <f t="shared" si="85"/>
        <v>5840220</v>
      </c>
    </row>
    <row r="431" spans="1:8" ht="15.75" customHeight="1" x14ac:dyDescent="0.2">
      <c r="A431" s="127">
        <v>1</v>
      </c>
      <c r="B431" s="128">
        <v>41.4</v>
      </c>
      <c r="C431" s="25">
        <f t="shared" si="84"/>
        <v>143103.62318840579</v>
      </c>
      <c r="D431" s="6">
        <v>5924490</v>
      </c>
      <c r="E431" s="128">
        <v>2</v>
      </c>
      <c r="F431" s="5" t="s">
        <v>13</v>
      </c>
      <c r="G431" s="5">
        <v>1</v>
      </c>
      <c r="H431" s="5">
        <f t="shared" si="85"/>
        <v>5924490</v>
      </c>
    </row>
    <row r="432" spans="1:8" ht="15.75" customHeight="1" x14ac:dyDescent="0.2">
      <c r="A432" s="127">
        <v>1</v>
      </c>
      <c r="B432" s="128">
        <v>41.4</v>
      </c>
      <c r="C432" s="25">
        <f t="shared" si="84"/>
        <v>143103.62318840579</v>
      </c>
      <c r="D432" s="6">
        <v>5924490</v>
      </c>
      <c r="E432" s="128">
        <v>2</v>
      </c>
      <c r="F432" s="5" t="s">
        <v>13</v>
      </c>
      <c r="G432" s="5">
        <v>1</v>
      </c>
      <c r="H432" s="5">
        <f t="shared" si="85"/>
        <v>5924490</v>
      </c>
    </row>
    <row r="433" spans="1:8" ht="15.75" customHeight="1" x14ac:dyDescent="0.2">
      <c r="A433" s="127">
        <v>1</v>
      </c>
      <c r="B433" s="128">
        <v>41.4</v>
      </c>
      <c r="C433" s="25">
        <f t="shared" si="84"/>
        <v>141068.11594202899</v>
      </c>
      <c r="D433" s="6">
        <v>5840220</v>
      </c>
      <c r="E433" s="128">
        <v>1</v>
      </c>
      <c r="F433" s="5" t="s">
        <v>13</v>
      </c>
      <c r="G433" s="5">
        <v>1</v>
      </c>
      <c r="H433" s="5">
        <f t="shared" si="85"/>
        <v>5840220</v>
      </c>
    </row>
    <row r="434" spans="1:8" ht="15.75" customHeight="1" x14ac:dyDescent="0.2">
      <c r="A434" s="127">
        <v>1</v>
      </c>
      <c r="B434" s="128">
        <v>41.4</v>
      </c>
      <c r="C434" s="25">
        <f t="shared" si="84"/>
        <v>145105.07246376813</v>
      </c>
      <c r="D434" s="6">
        <v>6007350</v>
      </c>
      <c r="E434" s="128">
        <v>3</v>
      </c>
      <c r="F434" s="5" t="s">
        <v>13</v>
      </c>
      <c r="G434" s="5">
        <v>1</v>
      </c>
      <c r="H434" s="5">
        <f t="shared" si="85"/>
        <v>6007350</v>
      </c>
    </row>
    <row r="435" spans="1:8" ht="15.75" customHeight="1" x14ac:dyDescent="0.2">
      <c r="A435" s="127">
        <v>1</v>
      </c>
      <c r="B435" s="128">
        <v>41.4</v>
      </c>
      <c r="C435" s="25">
        <f t="shared" si="84"/>
        <v>146105.79710144928</v>
      </c>
      <c r="D435" s="6">
        <v>6048780</v>
      </c>
      <c r="E435" s="128">
        <v>4</v>
      </c>
      <c r="F435" s="5" t="s">
        <v>13</v>
      </c>
      <c r="G435" s="5">
        <v>1</v>
      </c>
      <c r="H435" s="5">
        <f t="shared" si="85"/>
        <v>6048780</v>
      </c>
    </row>
    <row r="436" spans="1:8" ht="15.75" customHeight="1" x14ac:dyDescent="0.2">
      <c r="A436" s="127">
        <v>1</v>
      </c>
      <c r="B436" s="128">
        <v>41.4</v>
      </c>
      <c r="C436" s="25">
        <f t="shared" si="84"/>
        <v>146105.79710144928</v>
      </c>
      <c r="D436" s="6">
        <v>6048780</v>
      </c>
      <c r="E436" s="128">
        <v>4</v>
      </c>
      <c r="F436" s="5" t="s">
        <v>13</v>
      </c>
      <c r="G436" s="5">
        <v>1</v>
      </c>
      <c r="H436" s="5">
        <f t="shared" si="85"/>
        <v>6048780</v>
      </c>
    </row>
    <row r="437" spans="1:8" ht="15.75" customHeight="1" x14ac:dyDescent="0.2">
      <c r="A437" s="127">
        <v>1</v>
      </c>
      <c r="B437" s="128">
        <v>42.2</v>
      </c>
      <c r="C437" s="25">
        <f t="shared" si="84"/>
        <v>141033.41232227487</v>
      </c>
      <c r="D437" s="6">
        <v>5951610</v>
      </c>
      <c r="E437" s="128">
        <v>1</v>
      </c>
      <c r="F437" s="5" t="s">
        <v>13</v>
      </c>
      <c r="G437" s="5">
        <v>1</v>
      </c>
      <c r="H437" s="5">
        <f t="shared" si="85"/>
        <v>5951610</v>
      </c>
    </row>
    <row r="438" spans="1:8" ht="15.75" customHeight="1" x14ac:dyDescent="0.2">
      <c r="A438" s="127">
        <v>1</v>
      </c>
      <c r="B438" s="128">
        <v>42.2</v>
      </c>
      <c r="C438" s="25">
        <f t="shared" si="84"/>
        <v>141033.41232227487</v>
      </c>
      <c r="D438" s="6">
        <v>5951610</v>
      </c>
      <c r="E438" s="128">
        <v>1</v>
      </c>
      <c r="F438" s="5" t="s">
        <v>13</v>
      </c>
      <c r="G438" s="5">
        <v>1</v>
      </c>
      <c r="H438" s="5">
        <f t="shared" si="85"/>
        <v>5951610</v>
      </c>
    </row>
    <row r="439" spans="1:8" ht="15.75" customHeight="1" x14ac:dyDescent="0.2">
      <c r="A439" s="127">
        <v>1</v>
      </c>
      <c r="B439" s="128">
        <v>42.2</v>
      </c>
      <c r="C439" s="25">
        <f t="shared" si="84"/>
        <v>143033.88625592415</v>
      </c>
      <c r="D439" s="6">
        <v>6036030</v>
      </c>
      <c r="E439" s="128">
        <v>2</v>
      </c>
      <c r="F439" s="5" t="s">
        <v>13</v>
      </c>
      <c r="G439" s="5">
        <v>1</v>
      </c>
      <c r="H439" s="5">
        <f t="shared" si="85"/>
        <v>6036030</v>
      </c>
    </row>
    <row r="440" spans="1:8" ht="15.75" customHeight="1" x14ac:dyDescent="0.2">
      <c r="A440" s="127">
        <v>1</v>
      </c>
      <c r="B440" s="128">
        <v>42.2</v>
      </c>
      <c r="C440" s="25">
        <f t="shared" si="84"/>
        <v>145034.36018957346</v>
      </c>
      <c r="D440" s="6">
        <v>6120450</v>
      </c>
      <c r="E440" s="128">
        <v>3</v>
      </c>
      <c r="F440" s="5" t="s">
        <v>13</v>
      </c>
      <c r="G440" s="5">
        <v>1</v>
      </c>
      <c r="H440" s="5">
        <f t="shared" si="85"/>
        <v>6120450</v>
      </c>
    </row>
    <row r="441" spans="1:8" ht="15.75" customHeight="1" x14ac:dyDescent="0.2">
      <c r="A441" s="127">
        <v>1</v>
      </c>
      <c r="B441" s="128">
        <v>42.2</v>
      </c>
      <c r="C441" s="25">
        <f t="shared" si="84"/>
        <v>146034.59715639809</v>
      </c>
      <c r="D441" s="6">
        <v>6162660</v>
      </c>
      <c r="E441" s="128">
        <v>4</v>
      </c>
      <c r="F441" s="5" t="s">
        <v>13</v>
      </c>
      <c r="G441" s="5">
        <v>1</v>
      </c>
      <c r="H441" s="5">
        <f t="shared" si="85"/>
        <v>6162660</v>
      </c>
    </row>
    <row r="442" spans="1:8" ht="15.75" customHeight="1" x14ac:dyDescent="0.2">
      <c r="A442" s="127">
        <v>1</v>
      </c>
      <c r="B442" s="128">
        <v>42.2</v>
      </c>
      <c r="C442" s="25">
        <f t="shared" si="84"/>
        <v>145034.36018957346</v>
      </c>
      <c r="D442" s="6">
        <v>6120450</v>
      </c>
      <c r="E442" s="128">
        <v>3</v>
      </c>
      <c r="F442" s="5" t="s">
        <v>13</v>
      </c>
      <c r="G442" s="5">
        <v>1</v>
      </c>
      <c r="H442" s="5">
        <f t="shared" si="85"/>
        <v>6120450</v>
      </c>
    </row>
    <row r="443" spans="1:8" ht="15.75" customHeight="1" x14ac:dyDescent="0.2">
      <c r="A443" s="127">
        <v>1</v>
      </c>
      <c r="B443" s="128">
        <v>42.8</v>
      </c>
      <c r="C443" s="25">
        <f t="shared" si="84"/>
        <v>141065.88785046729</v>
      </c>
      <c r="D443" s="6">
        <v>6037620</v>
      </c>
      <c r="E443" s="128">
        <v>1</v>
      </c>
      <c r="F443" s="5" t="s">
        <v>13</v>
      </c>
      <c r="G443" s="5">
        <v>1</v>
      </c>
      <c r="H443" s="5">
        <f t="shared" si="85"/>
        <v>6037620</v>
      </c>
    </row>
    <row r="444" spans="1:8" ht="15.75" customHeight="1" x14ac:dyDescent="0.2">
      <c r="A444" s="127">
        <v>1</v>
      </c>
      <c r="B444" s="128">
        <v>42.8</v>
      </c>
      <c r="C444" s="25">
        <f t="shared" si="84"/>
        <v>144067.28971962619</v>
      </c>
      <c r="D444" s="6">
        <v>6166080</v>
      </c>
      <c r="E444" s="128">
        <v>2</v>
      </c>
      <c r="F444" s="5" t="s">
        <v>13</v>
      </c>
      <c r="G444" s="5">
        <v>1</v>
      </c>
      <c r="H444" s="5">
        <f t="shared" si="85"/>
        <v>6166080</v>
      </c>
    </row>
    <row r="445" spans="1:8" ht="15.75" customHeight="1" x14ac:dyDescent="0.2">
      <c r="A445" s="127">
        <v>1</v>
      </c>
      <c r="B445" s="128">
        <v>42.8</v>
      </c>
      <c r="C445" s="25">
        <f t="shared" si="84"/>
        <v>146068.22429906542</v>
      </c>
      <c r="D445" s="6">
        <v>6251720</v>
      </c>
      <c r="E445" s="128">
        <v>3</v>
      </c>
      <c r="F445" s="5" t="s">
        <v>13</v>
      </c>
      <c r="G445" s="5">
        <v>1</v>
      </c>
      <c r="H445" s="5">
        <f t="shared" si="85"/>
        <v>6251720</v>
      </c>
    </row>
    <row r="446" spans="1:8" ht="15.75" customHeight="1" x14ac:dyDescent="0.2">
      <c r="A446" s="127">
        <v>1</v>
      </c>
      <c r="B446" s="128">
        <v>42.8</v>
      </c>
      <c r="C446" s="25">
        <f t="shared" si="84"/>
        <v>148069.15887850468</v>
      </c>
      <c r="D446" s="6">
        <v>6337360</v>
      </c>
      <c r="E446" s="128">
        <v>4</v>
      </c>
      <c r="F446" s="5" t="s">
        <v>13</v>
      </c>
      <c r="G446" s="5">
        <v>1</v>
      </c>
      <c r="H446" s="5">
        <f t="shared" si="85"/>
        <v>6337360</v>
      </c>
    </row>
    <row r="447" spans="1:8" ht="15.75" customHeight="1" x14ac:dyDescent="0.2">
      <c r="A447" s="127">
        <v>1</v>
      </c>
      <c r="B447" s="128">
        <v>43.4</v>
      </c>
      <c r="C447" s="25">
        <f t="shared" si="84"/>
        <v>142934.10138248847</v>
      </c>
      <c r="D447" s="6">
        <v>6203340</v>
      </c>
      <c r="E447" s="128">
        <v>2</v>
      </c>
      <c r="F447" s="5" t="s">
        <v>13</v>
      </c>
      <c r="G447" s="5">
        <v>1</v>
      </c>
      <c r="H447" s="5">
        <f t="shared" si="85"/>
        <v>6203340</v>
      </c>
    </row>
    <row r="448" spans="1:8" ht="15.75" customHeight="1" x14ac:dyDescent="0.2">
      <c r="A448" s="127">
        <v>1</v>
      </c>
      <c r="B448" s="128">
        <v>43.4</v>
      </c>
      <c r="C448" s="25">
        <f t="shared" si="84"/>
        <v>146932.25806451612</v>
      </c>
      <c r="D448" s="6">
        <v>6376860</v>
      </c>
      <c r="E448" s="128">
        <v>4</v>
      </c>
      <c r="F448" s="5" t="s">
        <v>13</v>
      </c>
      <c r="G448" s="5">
        <v>1</v>
      </c>
      <c r="H448" s="5">
        <f t="shared" si="85"/>
        <v>6376860</v>
      </c>
    </row>
    <row r="449" spans="1:8" ht="15.75" customHeight="1" x14ac:dyDescent="0.2">
      <c r="A449" s="127">
        <v>1</v>
      </c>
      <c r="B449" s="128">
        <v>43.4</v>
      </c>
      <c r="C449" s="25">
        <f t="shared" si="84"/>
        <v>143933.64055299541</v>
      </c>
      <c r="D449" s="6">
        <v>6246720</v>
      </c>
      <c r="E449" s="128">
        <v>3</v>
      </c>
      <c r="F449" s="5" t="s">
        <v>13</v>
      </c>
      <c r="G449" s="5">
        <v>1</v>
      </c>
      <c r="H449" s="5">
        <f t="shared" si="85"/>
        <v>6246720</v>
      </c>
    </row>
    <row r="450" spans="1:8" ht="15.75" customHeight="1" x14ac:dyDescent="0.2">
      <c r="A450" s="127">
        <v>2</v>
      </c>
      <c r="B450" s="128">
        <v>53.9</v>
      </c>
      <c r="C450" s="25">
        <f t="shared" si="84"/>
        <v>143893.13543599259</v>
      </c>
      <c r="D450" s="6">
        <v>7755840</v>
      </c>
      <c r="E450" s="128">
        <v>1</v>
      </c>
      <c r="F450" s="5" t="s">
        <v>13</v>
      </c>
      <c r="G450" s="5">
        <v>1</v>
      </c>
      <c r="H450" s="5">
        <f t="shared" si="85"/>
        <v>7755840</v>
      </c>
    </row>
    <row r="451" spans="1:8" ht="15.75" customHeight="1" x14ac:dyDescent="0.2">
      <c r="A451" s="127">
        <v>2</v>
      </c>
      <c r="B451" s="128">
        <v>53.9</v>
      </c>
      <c r="C451" s="25">
        <f t="shared" ref="C451:C480" si="88">D451/B451</f>
        <v>145891.65120593691</v>
      </c>
      <c r="D451" s="6">
        <v>7863560</v>
      </c>
      <c r="E451" s="128">
        <v>2</v>
      </c>
      <c r="F451" s="5" t="s">
        <v>13</v>
      </c>
      <c r="G451" s="5">
        <v>1</v>
      </c>
      <c r="H451" s="5">
        <f t="shared" ref="H451:H480" si="89">G451*D451</f>
        <v>7863560</v>
      </c>
    </row>
    <row r="452" spans="1:8" ht="15.75" customHeight="1" x14ac:dyDescent="0.2">
      <c r="A452" s="127">
        <v>2</v>
      </c>
      <c r="B452" s="128">
        <v>53.9</v>
      </c>
      <c r="C452" s="25">
        <f t="shared" si="88"/>
        <v>147890.16697588126</v>
      </c>
      <c r="D452" s="6">
        <v>7971280</v>
      </c>
      <c r="E452" s="128">
        <v>3</v>
      </c>
      <c r="F452" s="5" t="s">
        <v>13</v>
      </c>
      <c r="G452" s="5">
        <v>1</v>
      </c>
      <c r="H452" s="5">
        <f t="shared" si="89"/>
        <v>7971280</v>
      </c>
    </row>
    <row r="453" spans="1:8" ht="15.75" customHeight="1" x14ac:dyDescent="0.2">
      <c r="A453" s="127">
        <v>2</v>
      </c>
      <c r="B453" s="128">
        <v>53.9</v>
      </c>
      <c r="C453" s="25">
        <f t="shared" si="88"/>
        <v>147890.16697588126</v>
      </c>
      <c r="D453" s="6">
        <v>7971280</v>
      </c>
      <c r="E453" s="128">
        <v>3</v>
      </c>
      <c r="F453" s="5" t="s">
        <v>13</v>
      </c>
      <c r="G453" s="5">
        <v>1</v>
      </c>
      <c r="H453" s="5">
        <f t="shared" si="89"/>
        <v>7971280</v>
      </c>
    </row>
    <row r="454" spans="1:8" ht="15.75" customHeight="1" x14ac:dyDescent="0.2">
      <c r="A454" s="127">
        <v>2</v>
      </c>
      <c r="B454" s="128">
        <v>53.9</v>
      </c>
      <c r="C454" s="25">
        <f t="shared" si="88"/>
        <v>148889.42486085344</v>
      </c>
      <c r="D454" s="6">
        <v>8025140</v>
      </c>
      <c r="E454" s="128">
        <v>4</v>
      </c>
      <c r="F454" s="5" t="s">
        <v>13</v>
      </c>
      <c r="G454" s="5">
        <v>1</v>
      </c>
      <c r="H454" s="5">
        <f t="shared" si="89"/>
        <v>8025140</v>
      </c>
    </row>
    <row r="455" spans="1:8" ht="15.75" customHeight="1" x14ac:dyDescent="0.2">
      <c r="A455" s="127">
        <v>2</v>
      </c>
      <c r="B455" s="128">
        <v>53.9</v>
      </c>
      <c r="C455" s="25">
        <f t="shared" si="88"/>
        <v>148889.42486085344</v>
      </c>
      <c r="D455" s="6">
        <v>8025140</v>
      </c>
      <c r="E455" s="128">
        <v>4</v>
      </c>
      <c r="F455" s="5" t="s">
        <v>13</v>
      </c>
      <c r="G455" s="5">
        <v>1</v>
      </c>
      <c r="H455" s="5">
        <f t="shared" si="89"/>
        <v>8025140</v>
      </c>
    </row>
    <row r="456" spans="1:8" ht="15.75" customHeight="1" x14ac:dyDescent="0.2">
      <c r="A456" s="127">
        <v>2</v>
      </c>
      <c r="B456" s="128">
        <v>57</v>
      </c>
      <c r="C456" s="25">
        <f t="shared" si="88"/>
        <v>144000</v>
      </c>
      <c r="D456" s="6">
        <v>8208000</v>
      </c>
      <c r="E456" s="128">
        <v>1</v>
      </c>
      <c r="F456" s="5" t="s">
        <v>13</v>
      </c>
      <c r="G456" s="5">
        <v>1</v>
      </c>
      <c r="H456" s="5">
        <f t="shared" si="89"/>
        <v>8208000</v>
      </c>
    </row>
    <row r="457" spans="1:8" ht="15.75" customHeight="1" x14ac:dyDescent="0.2">
      <c r="A457" s="127">
        <v>2</v>
      </c>
      <c r="B457" s="128">
        <v>57</v>
      </c>
      <c r="C457" s="25">
        <f t="shared" si="88"/>
        <v>146000</v>
      </c>
      <c r="D457" s="6">
        <v>8322000</v>
      </c>
      <c r="E457" s="128">
        <v>2</v>
      </c>
      <c r="F457" s="5" t="s">
        <v>13</v>
      </c>
      <c r="G457" s="5">
        <v>1</v>
      </c>
      <c r="H457" s="5">
        <f t="shared" si="89"/>
        <v>8322000</v>
      </c>
    </row>
    <row r="458" spans="1:8" ht="15.75" customHeight="1" x14ac:dyDescent="0.2">
      <c r="A458" s="127">
        <v>2</v>
      </c>
      <c r="B458" s="128">
        <v>57</v>
      </c>
      <c r="C458" s="25">
        <f t="shared" si="88"/>
        <v>147000</v>
      </c>
      <c r="D458" s="6">
        <v>8379000</v>
      </c>
      <c r="E458" s="128">
        <v>3</v>
      </c>
      <c r="F458" s="5" t="s">
        <v>13</v>
      </c>
      <c r="G458" s="5">
        <v>1</v>
      </c>
      <c r="H458" s="5">
        <f t="shared" si="89"/>
        <v>8379000</v>
      </c>
    </row>
    <row r="459" spans="1:8" ht="15.75" customHeight="1" x14ac:dyDescent="0.2">
      <c r="A459" s="127">
        <v>2</v>
      </c>
      <c r="B459" s="128">
        <v>57</v>
      </c>
      <c r="C459" s="25">
        <f t="shared" si="88"/>
        <v>148000</v>
      </c>
      <c r="D459" s="6">
        <v>8436000</v>
      </c>
      <c r="E459" s="128">
        <v>4</v>
      </c>
      <c r="F459" s="5" t="s">
        <v>13</v>
      </c>
      <c r="G459" s="5">
        <v>1</v>
      </c>
      <c r="H459" s="5">
        <f t="shared" si="89"/>
        <v>8436000</v>
      </c>
    </row>
    <row r="460" spans="1:8" ht="15.75" customHeight="1" x14ac:dyDescent="0.2">
      <c r="A460" s="127">
        <v>2</v>
      </c>
      <c r="B460" s="128">
        <v>57.9</v>
      </c>
      <c r="C460" s="25">
        <f t="shared" si="88"/>
        <v>147000</v>
      </c>
      <c r="D460" s="6">
        <v>8511300</v>
      </c>
      <c r="E460" s="128">
        <v>3</v>
      </c>
      <c r="F460" s="5" t="s">
        <v>13</v>
      </c>
      <c r="G460" s="5">
        <v>1</v>
      </c>
      <c r="H460" s="5">
        <f t="shared" si="89"/>
        <v>8511300</v>
      </c>
    </row>
    <row r="461" spans="1:8" ht="15.75" customHeight="1" x14ac:dyDescent="0.2">
      <c r="A461" s="127">
        <v>2</v>
      </c>
      <c r="B461" s="128">
        <v>57.9</v>
      </c>
      <c r="C461" s="25">
        <f t="shared" si="88"/>
        <v>147000</v>
      </c>
      <c r="D461" s="6">
        <v>8511300</v>
      </c>
      <c r="E461" s="128">
        <v>4</v>
      </c>
      <c r="F461" s="5" t="s">
        <v>13</v>
      </c>
      <c r="G461" s="5">
        <v>1</v>
      </c>
      <c r="H461" s="5">
        <f t="shared" si="89"/>
        <v>8511300</v>
      </c>
    </row>
    <row r="462" spans="1:8" ht="15.75" customHeight="1" x14ac:dyDescent="0.2">
      <c r="A462" s="127">
        <v>2</v>
      </c>
      <c r="B462" s="128">
        <v>59.2</v>
      </c>
      <c r="C462" s="25">
        <f t="shared" si="88"/>
        <v>143927.02702702701</v>
      </c>
      <c r="D462" s="6">
        <v>8520480</v>
      </c>
      <c r="E462" s="128">
        <v>1</v>
      </c>
      <c r="F462" s="5" t="s">
        <v>13</v>
      </c>
      <c r="G462" s="5">
        <v>1</v>
      </c>
      <c r="H462" s="5">
        <f t="shared" si="89"/>
        <v>8520480</v>
      </c>
    </row>
    <row r="463" spans="1:8" ht="15.75" customHeight="1" x14ac:dyDescent="0.2">
      <c r="A463" s="127">
        <v>2</v>
      </c>
      <c r="B463" s="128">
        <v>59.2</v>
      </c>
      <c r="C463" s="25">
        <f t="shared" si="88"/>
        <v>145926.01351351352</v>
      </c>
      <c r="D463" s="6">
        <v>8638820</v>
      </c>
      <c r="E463" s="128">
        <v>2</v>
      </c>
      <c r="F463" s="5" t="s">
        <v>13</v>
      </c>
      <c r="G463" s="5">
        <v>1</v>
      </c>
      <c r="H463" s="5">
        <f t="shared" si="89"/>
        <v>8638820</v>
      </c>
    </row>
    <row r="464" spans="1:8" ht="15.75" customHeight="1" x14ac:dyDescent="0.2">
      <c r="A464" s="127">
        <v>2</v>
      </c>
      <c r="B464" s="128">
        <v>59.2</v>
      </c>
      <c r="C464" s="25">
        <f t="shared" si="88"/>
        <v>146925.50675675675</v>
      </c>
      <c r="D464" s="6">
        <v>8697990</v>
      </c>
      <c r="E464" s="128">
        <v>3</v>
      </c>
      <c r="F464" s="5" t="s">
        <v>13</v>
      </c>
      <c r="G464" s="5">
        <v>1</v>
      </c>
      <c r="H464" s="5">
        <f t="shared" si="89"/>
        <v>8697990</v>
      </c>
    </row>
    <row r="465" spans="1:8" ht="15.75" customHeight="1" x14ac:dyDescent="0.2">
      <c r="A465" s="127">
        <v>2</v>
      </c>
      <c r="B465" s="128">
        <v>59.2</v>
      </c>
      <c r="C465" s="25">
        <f t="shared" si="88"/>
        <v>147925</v>
      </c>
      <c r="D465" s="6">
        <v>8757160</v>
      </c>
      <c r="E465" s="128">
        <v>4</v>
      </c>
      <c r="F465" s="5" t="s">
        <v>13</v>
      </c>
      <c r="G465" s="5">
        <v>1</v>
      </c>
      <c r="H465" s="5">
        <f t="shared" si="89"/>
        <v>8757160</v>
      </c>
    </row>
    <row r="466" spans="1:8" ht="15.75" customHeight="1" x14ac:dyDescent="0.2">
      <c r="A466" s="127">
        <v>2</v>
      </c>
      <c r="B466" s="128">
        <v>60.1</v>
      </c>
      <c r="C466" s="25">
        <f t="shared" si="88"/>
        <v>142047.25457570716</v>
      </c>
      <c r="D466" s="6">
        <v>8537040</v>
      </c>
      <c r="E466" s="128">
        <v>1</v>
      </c>
      <c r="F466" s="5" t="s">
        <v>13</v>
      </c>
      <c r="G466" s="5">
        <v>1</v>
      </c>
      <c r="H466" s="5">
        <f t="shared" si="89"/>
        <v>8537040</v>
      </c>
    </row>
    <row r="467" spans="1:8" ht="15.75" customHeight="1" x14ac:dyDescent="0.2">
      <c r="A467" s="127">
        <v>2</v>
      </c>
      <c r="B467" s="128">
        <v>60.1</v>
      </c>
      <c r="C467" s="25">
        <f t="shared" si="88"/>
        <v>141046.92179700499</v>
      </c>
      <c r="D467" s="6">
        <v>8476920</v>
      </c>
      <c r="E467" s="128">
        <v>2</v>
      </c>
      <c r="F467" s="5" t="s">
        <v>13</v>
      </c>
      <c r="G467" s="5">
        <v>1</v>
      </c>
      <c r="H467" s="5">
        <f t="shared" si="89"/>
        <v>8476920</v>
      </c>
    </row>
    <row r="468" spans="1:8" ht="15.75" customHeight="1" x14ac:dyDescent="0.2">
      <c r="A468" s="127">
        <v>2</v>
      </c>
      <c r="B468" s="128">
        <v>60.1</v>
      </c>
      <c r="C468" s="25">
        <f t="shared" si="88"/>
        <v>145048.25291181364</v>
      </c>
      <c r="D468" s="6">
        <v>8717400</v>
      </c>
      <c r="E468" s="128">
        <v>2</v>
      </c>
      <c r="F468" s="5" t="s">
        <v>13</v>
      </c>
      <c r="G468" s="5">
        <v>1</v>
      </c>
      <c r="H468" s="5">
        <f t="shared" si="89"/>
        <v>8717400</v>
      </c>
    </row>
    <row r="469" spans="1:8" ht="15.75" customHeight="1" x14ac:dyDescent="0.2">
      <c r="A469" s="127">
        <v>2</v>
      </c>
      <c r="B469" s="128">
        <v>60.1</v>
      </c>
      <c r="C469" s="25">
        <f t="shared" si="88"/>
        <v>147048.91846921796</v>
      </c>
      <c r="D469" s="6">
        <v>8837640</v>
      </c>
      <c r="E469" s="128">
        <v>3</v>
      </c>
      <c r="F469" s="5" t="s">
        <v>13</v>
      </c>
      <c r="G469" s="5">
        <v>1</v>
      </c>
      <c r="H469" s="5">
        <f t="shared" si="89"/>
        <v>8837640</v>
      </c>
    </row>
    <row r="470" spans="1:8" ht="15.75" customHeight="1" x14ac:dyDescent="0.2">
      <c r="A470" s="127">
        <v>2</v>
      </c>
      <c r="B470" s="128">
        <v>60.1</v>
      </c>
      <c r="C470" s="25">
        <f t="shared" si="88"/>
        <v>147048.91846921796</v>
      </c>
      <c r="D470" s="6">
        <v>8837640</v>
      </c>
      <c r="E470" s="128">
        <v>3</v>
      </c>
      <c r="F470" s="5" t="s">
        <v>13</v>
      </c>
      <c r="G470" s="5">
        <v>1</v>
      </c>
      <c r="H470" s="5">
        <f t="shared" si="89"/>
        <v>8837640</v>
      </c>
    </row>
    <row r="471" spans="1:8" ht="15.75" customHeight="1" x14ac:dyDescent="0.2">
      <c r="A471" s="127">
        <v>2</v>
      </c>
      <c r="B471" s="128">
        <v>60.1</v>
      </c>
      <c r="C471" s="25">
        <f t="shared" si="88"/>
        <v>147048.91846921796</v>
      </c>
      <c r="D471" s="6">
        <v>8837640</v>
      </c>
      <c r="E471" s="128">
        <v>4</v>
      </c>
      <c r="F471" s="5" t="s">
        <v>13</v>
      </c>
      <c r="G471" s="5">
        <v>1</v>
      </c>
      <c r="H471" s="5">
        <f t="shared" si="89"/>
        <v>8837640</v>
      </c>
    </row>
    <row r="472" spans="1:8" ht="15.75" customHeight="1" x14ac:dyDescent="0.2">
      <c r="A472" s="127">
        <v>2</v>
      </c>
      <c r="B472" s="128">
        <v>61.4</v>
      </c>
      <c r="C472" s="25">
        <f t="shared" si="88"/>
        <v>138886.80781758958</v>
      </c>
      <c r="D472" s="6">
        <v>8527650</v>
      </c>
      <c r="E472" s="128">
        <v>1</v>
      </c>
      <c r="F472" s="5" t="s">
        <v>13</v>
      </c>
      <c r="G472" s="5">
        <v>1</v>
      </c>
      <c r="H472" s="5">
        <f t="shared" si="89"/>
        <v>8527650</v>
      </c>
    </row>
    <row r="473" spans="1:8" ht="15.75" customHeight="1" x14ac:dyDescent="0.2">
      <c r="A473" s="127">
        <v>2</v>
      </c>
      <c r="B473" s="128">
        <v>61.4</v>
      </c>
      <c r="C473" s="25">
        <f t="shared" si="88"/>
        <v>139885.99348534201</v>
      </c>
      <c r="D473" s="6">
        <v>8589000</v>
      </c>
      <c r="E473" s="128">
        <v>2</v>
      </c>
      <c r="F473" s="5" t="s">
        <v>13</v>
      </c>
      <c r="G473" s="5">
        <v>1</v>
      </c>
      <c r="H473" s="5">
        <f t="shared" si="89"/>
        <v>8589000</v>
      </c>
    </row>
    <row r="474" spans="1:8" ht="15.75" customHeight="1" x14ac:dyDescent="0.2">
      <c r="A474" s="127">
        <v>2</v>
      </c>
      <c r="B474" s="128">
        <v>61.4</v>
      </c>
      <c r="C474" s="25">
        <f t="shared" si="88"/>
        <v>140885.17915309448</v>
      </c>
      <c r="D474" s="6">
        <v>8650350</v>
      </c>
      <c r="E474" s="128">
        <v>4</v>
      </c>
      <c r="F474" s="5" t="s">
        <v>13</v>
      </c>
      <c r="G474" s="5">
        <v>1</v>
      </c>
      <c r="H474" s="5">
        <f t="shared" si="89"/>
        <v>8650350</v>
      </c>
    </row>
    <row r="475" spans="1:8" ht="15.75" customHeight="1" x14ac:dyDescent="0.2">
      <c r="A475" s="127">
        <v>2</v>
      </c>
      <c r="B475" s="128">
        <v>61.5</v>
      </c>
      <c r="C475" s="25">
        <f t="shared" si="88"/>
        <v>135911.54471544715</v>
      </c>
      <c r="D475" s="6">
        <v>8358560</v>
      </c>
      <c r="E475" s="128">
        <v>1</v>
      </c>
      <c r="F475" s="5" t="s">
        <v>13</v>
      </c>
      <c r="G475" s="5">
        <v>1</v>
      </c>
      <c r="H475" s="5">
        <f t="shared" si="89"/>
        <v>8358560</v>
      </c>
    </row>
    <row r="476" spans="1:8" ht="15.75" customHeight="1" x14ac:dyDescent="0.2">
      <c r="A476" s="127">
        <v>2</v>
      </c>
      <c r="B476" s="128">
        <v>61.5</v>
      </c>
      <c r="C476" s="25">
        <f t="shared" si="88"/>
        <v>137910.24390243902</v>
      </c>
      <c r="D476" s="6">
        <v>8481480</v>
      </c>
      <c r="E476" s="128">
        <v>2</v>
      </c>
      <c r="F476" s="5" t="s">
        <v>13</v>
      </c>
      <c r="G476" s="5">
        <v>1</v>
      </c>
      <c r="H476" s="5">
        <f t="shared" si="89"/>
        <v>8481480</v>
      </c>
    </row>
    <row r="477" spans="1:8" ht="15.75" customHeight="1" x14ac:dyDescent="0.2">
      <c r="A477" s="127">
        <v>2</v>
      </c>
      <c r="B477" s="128">
        <v>61.5</v>
      </c>
      <c r="C477" s="25">
        <f t="shared" si="88"/>
        <v>139908.94308943089</v>
      </c>
      <c r="D477" s="6">
        <v>8604400</v>
      </c>
      <c r="E477" s="128">
        <v>3</v>
      </c>
      <c r="F477" s="5" t="s">
        <v>13</v>
      </c>
      <c r="G477" s="5">
        <v>1</v>
      </c>
      <c r="H477" s="5">
        <f t="shared" si="89"/>
        <v>8604400</v>
      </c>
    </row>
    <row r="478" spans="1:8" ht="15.75" customHeight="1" x14ac:dyDescent="0.2">
      <c r="A478" s="127">
        <v>2</v>
      </c>
      <c r="B478" s="128">
        <v>61.5</v>
      </c>
      <c r="C478" s="25">
        <f t="shared" si="88"/>
        <v>139908.94308943089</v>
      </c>
      <c r="D478" s="6">
        <v>8604400</v>
      </c>
      <c r="E478" s="128">
        <v>4</v>
      </c>
      <c r="F478" s="5" t="s">
        <v>13</v>
      </c>
      <c r="G478" s="5">
        <v>1</v>
      </c>
      <c r="H478" s="5">
        <f t="shared" si="89"/>
        <v>8604400</v>
      </c>
    </row>
    <row r="479" spans="1:8" ht="15.75" customHeight="1" x14ac:dyDescent="0.2">
      <c r="A479" s="127">
        <v>2</v>
      </c>
      <c r="B479" s="128">
        <v>61.7</v>
      </c>
      <c r="C479" s="25">
        <f t="shared" si="88"/>
        <v>138089.46515397081</v>
      </c>
      <c r="D479" s="6">
        <v>8520120</v>
      </c>
      <c r="E479" s="128">
        <v>2</v>
      </c>
      <c r="F479" s="5" t="s">
        <v>13</v>
      </c>
      <c r="G479" s="5">
        <v>1</v>
      </c>
      <c r="H479" s="5">
        <f t="shared" si="89"/>
        <v>8520120</v>
      </c>
    </row>
    <row r="480" spans="1:8" ht="15.75" customHeight="1" x14ac:dyDescent="0.2">
      <c r="A480" s="127">
        <v>2</v>
      </c>
      <c r="B480" s="128">
        <v>61.7</v>
      </c>
      <c r="C480" s="25">
        <f t="shared" si="88"/>
        <v>140090.76175040519</v>
      </c>
      <c r="D480" s="6">
        <v>8643600</v>
      </c>
      <c r="E480" s="128">
        <v>4</v>
      </c>
      <c r="F480" s="5" t="s">
        <v>13</v>
      </c>
      <c r="G480" s="5">
        <v>1</v>
      </c>
      <c r="H480" s="5">
        <f t="shared" si="89"/>
        <v>8643600</v>
      </c>
    </row>
    <row r="481" spans="1:8" ht="15.75" customHeight="1" x14ac:dyDescent="0.2">
      <c r="A481" s="127">
        <v>2</v>
      </c>
      <c r="B481" s="128">
        <v>61.7</v>
      </c>
      <c r="C481" s="25">
        <f t="shared" ref="C481:C487" si="90">D481/B481</f>
        <v>140090.76175040519</v>
      </c>
      <c r="D481" s="6">
        <v>8643600</v>
      </c>
      <c r="E481" s="128">
        <v>3</v>
      </c>
      <c r="F481" s="5" t="s">
        <v>13</v>
      </c>
      <c r="G481" s="5">
        <v>1</v>
      </c>
      <c r="H481" s="5">
        <f t="shared" ref="H481:H487" si="91">G481*D481</f>
        <v>8643600</v>
      </c>
    </row>
    <row r="482" spans="1:8" ht="15.75" customHeight="1" x14ac:dyDescent="0.2">
      <c r="A482" s="127">
        <v>2</v>
      </c>
      <c r="B482" s="128">
        <v>61.7</v>
      </c>
      <c r="C482" s="25">
        <f t="shared" si="90"/>
        <v>137122.36628849269</v>
      </c>
      <c r="D482" s="6">
        <v>8460450</v>
      </c>
      <c r="E482" s="128">
        <v>2</v>
      </c>
      <c r="F482" s="5" t="s">
        <v>13</v>
      </c>
      <c r="G482" s="5">
        <v>1</v>
      </c>
      <c r="H482" s="5">
        <f t="shared" si="91"/>
        <v>8460450</v>
      </c>
    </row>
    <row r="483" spans="1:8" ht="15.75" customHeight="1" x14ac:dyDescent="0.2">
      <c r="A483" s="127">
        <v>2</v>
      </c>
      <c r="B483" s="128">
        <v>61.7</v>
      </c>
      <c r="C483" s="25">
        <f t="shared" si="90"/>
        <v>139153.80875202591</v>
      </c>
      <c r="D483" s="6">
        <v>8585790</v>
      </c>
      <c r="E483" s="128">
        <v>4</v>
      </c>
      <c r="F483" s="5" t="s">
        <v>13</v>
      </c>
      <c r="G483" s="5">
        <v>1</v>
      </c>
      <c r="H483" s="5">
        <f t="shared" si="91"/>
        <v>8585790</v>
      </c>
    </row>
    <row r="484" spans="1:8" ht="15.75" customHeight="1" x14ac:dyDescent="0.2">
      <c r="A484" s="127">
        <v>2</v>
      </c>
      <c r="B484" s="128">
        <v>61.7</v>
      </c>
      <c r="C484" s="25">
        <f t="shared" si="90"/>
        <v>139153.80875202591</v>
      </c>
      <c r="D484" s="6">
        <v>8585790</v>
      </c>
      <c r="E484" s="128">
        <v>3</v>
      </c>
      <c r="F484" s="5" t="s">
        <v>13</v>
      </c>
      <c r="G484" s="5">
        <v>1</v>
      </c>
      <c r="H484" s="5">
        <f t="shared" si="91"/>
        <v>8585790</v>
      </c>
    </row>
    <row r="485" spans="1:8" ht="15.75" customHeight="1" x14ac:dyDescent="0.2">
      <c r="A485" s="127">
        <v>3</v>
      </c>
      <c r="B485" s="128">
        <v>74.3</v>
      </c>
      <c r="C485" s="25">
        <f t="shared" si="90"/>
        <v>130052.48990578736</v>
      </c>
      <c r="D485" s="6">
        <v>9662900</v>
      </c>
      <c r="E485" s="128">
        <v>2</v>
      </c>
      <c r="F485" s="5" t="s">
        <v>13</v>
      </c>
      <c r="G485" s="5">
        <v>1</v>
      </c>
      <c r="H485" s="5">
        <f t="shared" si="91"/>
        <v>9662900</v>
      </c>
    </row>
    <row r="486" spans="1:8" ht="15.75" customHeight="1" x14ac:dyDescent="0.2">
      <c r="A486" s="127">
        <v>3</v>
      </c>
      <c r="B486" s="128">
        <v>74.3</v>
      </c>
      <c r="C486" s="25">
        <f t="shared" si="90"/>
        <v>133053.70121130551</v>
      </c>
      <c r="D486" s="6">
        <v>9885890</v>
      </c>
      <c r="E486" s="128">
        <v>3</v>
      </c>
      <c r="F486" s="5" t="s">
        <v>13</v>
      </c>
      <c r="G486" s="5">
        <v>1</v>
      </c>
      <c r="H486" s="5">
        <f t="shared" si="91"/>
        <v>9885890</v>
      </c>
    </row>
    <row r="487" spans="1:8" ht="15.75" customHeight="1" x14ac:dyDescent="0.2">
      <c r="A487" s="127">
        <v>3</v>
      </c>
      <c r="B487" s="128">
        <v>74.3</v>
      </c>
      <c r="C487" s="25">
        <f t="shared" si="90"/>
        <v>133053.70121130551</v>
      </c>
      <c r="D487" s="6">
        <v>9885890</v>
      </c>
      <c r="E487" s="128">
        <v>4</v>
      </c>
      <c r="F487" s="5" t="s">
        <v>13</v>
      </c>
      <c r="G487" s="5">
        <v>1</v>
      </c>
      <c r="H487" s="5">
        <f t="shared" si="91"/>
        <v>9885890</v>
      </c>
    </row>
  </sheetData>
  <autoFilter ref="A3:E487" xr:uid="{00000000-0009-0000-0000-000006000000}">
    <filterColumn colId="0">
      <iconFilter iconSet="3Arrows"/>
    </filterColumn>
  </autoFilter>
  <sortState ref="A391:H487">
    <sortCondition ref="B391:B487"/>
  </sortState>
  <mergeCells count="10">
    <mergeCell ref="A1:E1"/>
    <mergeCell ref="A2:E2"/>
    <mergeCell ref="A5:E5"/>
    <mergeCell ref="A18:E18"/>
    <mergeCell ref="A46:E46"/>
    <mergeCell ref="A390:F390"/>
    <mergeCell ref="A345:F345"/>
    <mergeCell ref="A83:F83"/>
    <mergeCell ref="A69:E69"/>
    <mergeCell ref="A60:E60"/>
  </mergeCells>
  <hyperlinks>
    <hyperlink ref="G69" r:id="rId1" xr:uid="{FCF1BBF5-8C75-4D1E-9CD0-0690AF23FC4B}"/>
    <hyperlink ref="G2" r:id="rId2" xr:uid="{09698AC5-849B-4D72-8A01-C06D24FA1431}"/>
    <hyperlink ref="G5" r:id="rId3" xr:uid="{0AF567FA-EC88-4C02-BF2F-70F6C4598810}"/>
    <hyperlink ref="H18" r:id="rId4" xr:uid="{848BFB4B-25FB-4F3D-880E-8343DBDFEF2E}"/>
    <hyperlink ref="G345" r:id="rId5" xr:uid="{37479765-6C89-4BA4-B2CC-9564B6A61FA6}"/>
    <hyperlink ref="G390" r:id="rId6" xr:uid="{EFD07918-EE39-424A-9540-15926C2A2F9D}"/>
    <hyperlink ref="G60" r:id="rId7" xr:uid="{9FF93947-770F-4918-BD31-AA8061DB2EC5}"/>
  </hyperlinks>
  <pageMargins left="0.7" right="0.7" top="0.75" bottom="0.75" header="0.3" footer="0.3"/>
  <pageSetup paperSize="9" orientation="portrait" verticalDpi="0"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J624"/>
  <sheetViews>
    <sheetView zoomScaleNormal="100" workbookViewId="0">
      <selection activeCell="C92" sqref="C92"/>
    </sheetView>
  </sheetViews>
  <sheetFormatPr defaultColWidth="14.42578125" defaultRowHeight="15.75" customHeight="1" x14ac:dyDescent="0.2"/>
  <cols>
    <col min="1" max="1" width="11" style="20" customWidth="1"/>
    <col min="2" max="4" width="14.42578125" style="20"/>
    <col min="5" max="5" width="9.28515625" style="20" customWidth="1"/>
    <col min="6" max="6" width="8.28515625" style="20" customWidth="1"/>
    <col min="7" max="7" width="14.42578125" style="45"/>
    <col min="8" max="9" width="0" hidden="1" customWidth="1"/>
  </cols>
  <sheetData>
    <row r="1" spans="1:10" ht="18" x14ac:dyDescent="0.25">
      <c r="A1" s="304" t="s">
        <v>59</v>
      </c>
      <c r="B1" s="305"/>
      <c r="C1" s="305"/>
      <c r="D1" s="305"/>
    </row>
    <row r="2" spans="1:10" ht="15.75" customHeight="1" x14ac:dyDescent="0.2">
      <c r="A2" s="306" t="s">
        <v>105</v>
      </c>
      <c r="B2" s="307"/>
      <c r="C2" s="307"/>
      <c r="D2" s="307"/>
      <c r="E2" s="176"/>
      <c r="F2" s="113" t="s">
        <v>144</v>
      </c>
    </row>
    <row r="3" spans="1:10" ht="15.75" customHeight="1" x14ac:dyDescent="0.2">
      <c r="A3" s="177" t="s">
        <v>6</v>
      </c>
      <c r="B3" s="177" t="s">
        <v>7</v>
      </c>
      <c r="C3" s="177" t="s">
        <v>11</v>
      </c>
      <c r="D3" s="177" t="s">
        <v>12</v>
      </c>
      <c r="E3" s="177" t="s">
        <v>137</v>
      </c>
      <c r="F3" s="178" t="s">
        <v>44</v>
      </c>
    </row>
    <row r="4" spans="1:10" ht="12.75" x14ac:dyDescent="0.2">
      <c r="A4" s="83">
        <v>2</v>
      </c>
      <c r="B4" s="36">
        <v>46</v>
      </c>
      <c r="C4" s="36">
        <v>123533.34782608696</v>
      </c>
      <c r="D4" s="56">
        <v>5114280</v>
      </c>
      <c r="E4" s="56">
        <v>14</v>
      </c>
      <c r="F4" s="36">
        <v>1</v>
      </c>
      <c r="G4" s="36">
        <f>F4*D4</f>
        <v>5114280</v>
      </c>
      <c r="J4" s="59"/>
    </row>
    <row r="5" spans="1:10" ht="12.75" x14ac:dyDescent="0.2">
      <c r="A5" s="308" t="s">
        <v>68</v>
      </c>
      <c r="B5" s="309"/>
      <c r="C5" s="309"/>
      <c r="D5" s="309"/>
      <c r="E5" s="176"/>
      <c r="F5" s="179" t="s">
        <v>145</v>
      </c>
      <c r="H5" s="15"/>
      <c r="I5" s="10" t="s">
        <v>10</v>
      </c>
    </row>
    <row r="6" spans="1:10" ht="12.75" x14ac:dyDescent="0.2">
      <c r="A6" s="178" t="s">
        <v>6</v>
      </c>
      <c r="B6" s="178" t="s">
        <v>7</v>
      </c>
      <c r="C6" s="178" t="s">
        <v>11</v>
      </c>
      <c r="D6" s="178" t="s">
        <v>12</v>
      </c>
      <c r="E6" s="178" t="s">
        <v>10</v>
      </c>
      <c r="F6" s="36"/>
      <c r="H6" s="15"/>
      <c r="I6" s="4"/>
    </row>
    <row r="7" spans="1:10" ht="12.75" x14ac:dyDescent="0.2">
      <c r="A7" s="83">
        <v>1</v>
      </c>
      <c r="B7" s="36">
        <v>39.700000000000003</v>
      </c>
      <c r="C7" s="36">
        <v>239999.99999999997</v>
      </c>
      <c r="D7" s="56">
        <v>8575200</v>
      </c>
      <c r="E7" s="36">
        <v>7</v>
      </c>
      <c r="F7" s="36">
        <v>1</v>
      </c>
      <c r="G7" s="56">
        <f>F7*D7</f>
        <v>8575200</v>
      </c>
      <c r="H7" s="15"/>
      <c r="I7" s="4"/>
    </row>
    <row r="8" spans="1:10" ht="12.75" x14ac:dyDescent="0.2">
      <c r="A8" s="83">
        <v>1</v>
      </c>
      <c r="B8" s="36">
        <v>47.2</v>
      </c>
      <c r="C8" s="36">
        <v>223300</v>
      </c>
      <c r="D8" s="56">
        <v>9485784</v>
      </c>
      <c r="E8" s="36">
        <v>2</v>
      </c>
      <c r="F8" s="36">
        <v>1</v>
      </c>
      <c r="G8" s="56">
        <f t="shared" ref="G8:G26" si="0">F8*D8</f>
        <v>9485784</v>
      </c>
      <c r="H8" s="100"/>
      <c r="I8" s="94"/>
    </row>
    <row r="9" spans="1:10" ht="12.75" x14ac:dyDescent="0.2">
      <c r="A9" s="83">
        <v>1</v>
      </c>
      <c r="B9" s="36">
        <v>47.2</v>
      </c>
      <c r="C9" s="36">
        <f>D9/B9</f>
        <v>234000</v>
      </c>
      <c r="D9" s="56">
        <v>11044800</v>
      </c>
      <c r="E9" s="36">
        <v>8</v>
      </c>
      <c r="F9" s="36">
        <v>1</v>
      </c>
      <c r="G9" s="56">
        <v>12272000</v>
      </c>
      <c r="H9" s="100"/>
      <c r="I9" s="94"/>
    </row>
    <row r="10" spans="1:10" ht="12.75" x14ac:dyDescent="0.2">
      <c r="A10" s="83">
        <v>2</v>
      </c>
      <c r="B10" s="36">
        <v>56.2</v>
      </c>
      <c r="C10" s="36">
        <f>D10/B10</f>
        <v>204250</v>
      </c>
      <c r="D10" s="56">
        <v>11478850</v>
      </c>
      <c r="E10" s="36">
        <v>8</v>
      </c>
      <c r="F10" s="36">
        <v>1</v>
      </c>
      <c r="G10" s="56">
        <v>12083000</v>
      </c>
      <c r="H10" s="20"/>
      <c r="I10" s="20"/>
    </row>
    <row r="11" spans="1:10" ht="12.75" x14ac:dyDescent="0.2">
      <c r="A11" s="83">
        <v>2</v>
      </c>
      <c r="B11" s="36">
        <v>57.2</v>
      </c>
      <c r="C11" s="36">
        <f>D11/B11</f>
        <v>184300</v>
      </c>
      <c r="D11" s="56">
        <v>10541960</v>
      </c>
      <c r="E11" s="36">
        <v>2</v>
      </c>
      <c r="F11" s="36">
        <v>1</v>
      </c>
      <c r="G11" s="56">
        <v>10868000</v>
      </c>
      <c r="H11" s="20"/>
      <c r="I11" s="20"/>
    </row>
    <row r="12" spans="1:10" ht="12.75" x14ac:dyDescent="0.2">
      <c r="A12" s="83">
        <v>2</v>
      </c>
      <c r="B12" s="36">
        <v>59</v>
      </c>
      <c r="C12" s="36">
        <f>D12/B12</f>
        <v>204250</v>
      </c>
      <c r="D12" s="56">
        <v>12050750</v>
      </c>
      <c r="E12" s="36">
        <v>8</v>
      </c>
      <c r="F12" s="36">
        <v>1</v>
      </c>
      <c r="G12" s="56">
        <v>12685000</v>
      </c>
      <c r="H12" s="20"/>
      <c r="I12" s="20"/>
    </row>
    <row r="13" spans="1:10" ht="12.75" x14ac:dyDescent="0.2">
      <c r="A13" s="83">
        <v>2</v>
      </c>
      <c r="B13" s="36">
        <v>60.8</v>
      </c>
      <c r="C13" s="36">
        <v>230000</v>
      </c>
      <c r="D13" s="56">
        <v>13984000</v>
      </c>
      <c r="E13" s="36">
        <v>10</v>
      </c>
      <c r="F13" s="36">
        <v>1</v>
      </c>
      <c r="G13" s="56">
        <f t="shared" si="0"/>
        <v>13984000</v>
      </c>
      <c r="H13" s="20"/>
      <c r="I13" s="20"/>
    </row>
    <row r="14" spans="1:10" ht="12.75" x14ac:dyDescent="0.2">
      <c r="A14" s="83">
        <v>3</v>
      </c>
      <c r="B14" s="36">
        <v>77.3</v>
      </c>
      <c r="C14" s="36">
        <v>190416.30012936611</v>
      </c>
      <c r="D14" s="56">
        <v>14350375</v>
      </c>
      <c r="E14" s="36">
        <v>3</v>
      </c>
      <c r="F14" s="36">
        <v>1</v>
      </c>
      <c r="G14" s="56">
        <f t="shared" si="0"/>
        <v>14350375</v>
      </c>
      <c r="H14" s="20"/>
      <c r="I14" s="20"/>
    </row>
    <row r="15" spans="1:10" ht="12.75" x14ac:dyDescent="0.2">
      <c r="A15" s="83">
        <v>2</v>
      </c>
      <c r="B15" s="36">
        <v>81.8</v>
      </c>
      <c r="C15" s="36">
        <v>230000</v>
      </c>
      <c r="D15" s="56">
        <v>17873300</v>
      </c>
      <c r="E15" s="36">
        <v>8</v>
      </c>
      <c r="F15" s="36">
        <v>1</v>
      </c>
      <c r="G15" s="56">
        <f t="shared" si="0"/>
        <v>17873300</v>
      </c>
      <c r="H15" s="20"/>
      <c r="I15" s="20"/>
    </row>
    <row r="16" spans="1:10" ht="12.75" x14ac:dyDescent="0.2">
      <c r="A16" s="83">
        <v>2</v>
      </c>
      <c r="B16" s="36">
        <v>82</v>
      </c>
      <c r="C16" s="36">
        <f>D16/B16</f>
        <v>199500</v>
      </c>
      <c r="D16" s="56">
        <v>16359000</v>
      </c>
      <c r="E16" s="36">
        <v>5</v>
      </c>
      <c r="F16" s="36">
        <v>1</v>
      </c>
      <c r="G16" s="56">
        <f t="shared" si="0"/>
        <v>16359000</v>
      </c>
      <c r="H16" s="20"/>
      <c r="I16" s="20"/>
    </row>
    <row r="17" spans="1:9" ht="12.75" x14ac:dyDescent="0.2">
      <c r="A17" s="83">
        <v>3</v>
      </c>
      <c r="B17" s="36">
        <v>89</v>
      </c>
      <c r="C17" s="36">
        <v>190121</v>
      </c>
      <c r="D17" s="56">
        <v>16074731</v>
      </c>
      <c r="E17" s="36">
        <v>2</v>
      </c>
      <c r="F17" s="36">
        <v>1</v>
      </c>
      <c r="G17" s="56">
        <f t="shared" si="0"/>
        <v>16074731</v>
      </c>
      <c r="H17" s="20"/>
      <c r="I17" s="20"/>
    </row>
    <row r="18" spans="1:9" ht="12.75" x14ac:dyDescent="0.2">
      <c r="A18" s="83">
        <v>3</v>
      </c>
      <c r="B18" s="36">
        <v>89.1</v>
      </c>
      <c r="C18" s="36">
        <v>185120.99887766555</v>
      </c>
      <c r="D18" s="56">
        <v>15669567</v>
      </c>
      <c r="E18" s="36">
        <v>1</v>
      </c>
      <c r="F18" s="36">
        <v>1</v>
      </c>
      <c r="G18" s="56">
        <f t="shared" si="0"/>
        <v>15669567</v>
      </c>
      <c r="H18" s="20"/>
      <c r="I18" s="20"/>
    </row>
    <row r="19" spans="1:9" ht="12.75" x14ac:dyDescent="0.2">
      <c r="A19" s="83">
        <v>3</v>
      </c>
      <c r="B19" s="36">
        <v>89.2</v>
      </c>
      <c r="C19" s="36">
        <v>183880</v>
      </c>
      <c r="D19" s="56">
        <v>16169605</v>
      </c>
      <c r="E19" s="36">
        <v>4</v>
      </c>
      <c r="F19" s="36">
        <v>1</v>
      </c>
      <c r="G19" s="56">
        <f t="shared" si="0"/>
        <v>16169605</v>
      </c>
      <c r="H19" s="20"/>
      <c r="I19" s="20"/>
    </row>
    <row r="20" spans="1:9" ht="12.75" x14ac:dyDescent="0.2">
      <c r="A20" s="83">
        <v>3</v>
      </c>
      <c r="B20" s="36">
        <v>100.6</v>
      </c>
      <c r="C20" s="36">
        <v>178596.00397614314</v>
      </c>
      <c r="D20" s="56">
        <v>17068420</v>
      </c>
      <c r="E20" s="36">
        <v>2</v>
      </c>
      <c r="F20" s="36">
        <v>1</v>
      </c>
      <c r="G20" s="56">
        <f t="shared" si="0"/>
        <v>17068420</v>
      </c>
      <c r="H20" s="20"/>
      <c r="I20" s="20"/>
    </row>
    <row r="21" spans="1:9" ht="12.75" x14ac:dyDescent="0.2">
      <c r="A21" s="83">
        <v>3</v>
      </c>
      <c r="B21" s="36">
        <v>100.6</v>
      </c>
      <c r="C21" s="36">
        <v>210000</v>
      </c>
      <c r="D21" s="56">
        <v>20069700</v>
      </c>
      <c r="E21" s="36">
        <v>8</v>
      </c>
      <c r="F21" s="36">
        <v>1</v>
      </c>
      <c r="G21" s="56">
        <f t="shared" si="0"/>
        <v>20069700</v>
      </c>
      <c r="H21" s="20"/>
      <c r="I21" s="20"/>
    </row>
    <row r="22" spans="1:9" ht="12.75" x14ac:dyDescent="0.2">
      <c r="A22" s="83">
        <v>3</v>
      </c>
      <c r="B22" s="36">
        <v>100.8</v>
      </c>
      <c r="C22" s="36">
        <v>190000</v>
      </c>
      <c r="D22" s="56">
        <v>17613689</v>
      </c>
      <c r="E22" s="36">
        <v>4</v>
      </c>
      <c r="F22" s="36">
        <v>1</v>
      </c>
      <c r="G22" s="56">
        <f t="shared" si="0"/>
        <v>17613689</v>
      </c>
      <c r="H22" s="20"/>
      <c r="I22" s="20"/>
    </row>
    <row r="23" spans="1:9" ht="12.75" x14ac:dyDescent="0.2">
      <c r="A23" s="83">
        <v>3</v>
      </c>
      <c r="B23" s="36">
        <v>100.8</v>
      </c>
      <c r="C23" s="36">
        <f>D23/B23</f>
        <v>180500</v>
      </c>
      <c r="D23" s="56">
        <v>18194400</v>
      </c>
      <c r="E23" s="36">
        <v>6</v>
      </c>
      <c r="F23" s="36">
        <v>1</v>
      </c>
      <c r="G23" s="56">
        <f t="shared" si="0"/>
        <v>18194400</v>
      </c>
      <c r="H23" s="20"/>
      <c r="I23" s="20"/>
    </row>
    <row r="24" spans="1:9" ht="12.75" x14ac:dyDescent="0.2">
      <c r="A24" s="83">
        <v>3</v>
      </c>
      <c r="B24" s="36">
        <v>105.6</v>
      </c>
      <c r="C24" s="36">
        <v>215000</v>
      </c>
      <c r="D24" s="56">
        <v>23232000</v>
      </c>
      <c r="E24" s="36">
        <v>9</v>
      </c>
      <c r="F24" s="36">
        <v>1</v>
      </c>
      <c r="G24" s="56">
        <f t="shared" si="0"/>
        <v>23232000</v>
      </c>
      <c r="H24" s="20"/>
      <c r="I24" s="20"/>
    </row>
    <row r="25" spans="1:9" ht="12.75" x14ac:dyDescent="0.2">
      <c r="A25" s="83">
        <v>3</v>
      </c>
      <c r="B25" s="36">
        <v>105.6</v>
      </c>
      <c r="C25" s="36">
        <f>D25/B25</f>
        <v>199500</v>
      </c>
      <c r="D25" s="56">
        <v>21067200</v>
      </c>
      <c r="E25" s="36">
        <v>8</v>
      </c>
      <c r="F25" s="36">
        <v>1</v>
      </c>
      <c r="G25" s="56">
        <f t="shared" si="0"/>
        <v>21067200</v>
      </c>
      <c r="H25" s="20"/>
      <c r="I25" s="20"/>
    </row>
    <row r="26" spans="1:9" ht="12.75" x14ac:dyDescent="0.2">
      <c r="A26" s="83">
        <v>3</v>
      </c>
      <c r="B26" s="36">
        <v>106</v>
      </c>
      <c r="C26" s="36">
        <v>180483</v>
      </c>
      <c r="D26" s="56">
        <v>18557262</v>
      </c>
      <c r="E26" s="36">
        <v>3</v>
      </c>
      <c r="F26" s="36">
        <v>1</v>
      </c>
      <c r="G26" s="56">
        <f t="shared" si="0"/>
        <v>18557262</v>
      </c>
      <c r="H26" s="20"/>
      <c r="I26" s="20"/>
    </row>
    <row r="27" spans="1:9" ht="12.75" x14ac:dyDescent="0.2">
      <c r="A27" s="306" t="s">
        <v>81</v>
      </c>
      <c r="B27" s="307"/>
      <c r="C27" s="307"/>
      <c r="D27" s="307"/>
      <c r="E27" s="176"/>
      <c r="F27" s="180" t="s">
        <v>144</v>
      </c>
      <c r="H27" s="20"/>
      <c r="I27" s="20"/>
    </row>
    <row r="28" spans="1:9" ht="12.75" x14ac:dyDescent="0.2">
      <c r="A28" s="178" t="s">
        <v>6</v>
      </c>
      <c r="B28" s="178" t="s">
        <v>7</v>
      </c>
      <c r="C28" s="178" t="s">
        <v>11</v>
      </c>
      <c r="D28" s="178" t="s">
        <v>12</v>
      </c>
      <c r="E28" s="178" t="s">
        <v>10</v>
      </c>
      <c r="F28" s="79"/>
      <c r="H28" s="20"/>
      <c r="I28" s="20"/>
    </row>
    <row r="29" spans="1:9" ht="12.75" x14ac:dyDescent="0.2">
      <c r="A29" s="83" t="s">
        <v>16</v>
      </c>
      <c r="B29" s="36">
        <v>26.81</v>
      </c>
      <c r="C29" s="36">
        <v>124818.01566579635</v>
      </c>
      <c r="D29" s="56">
        <v>3379835</v>
      </c>
      <c r="E29" s="36">
        <v>5</v>
      </c>
      <c r="F29" s="36">
        <v>1</v>
      </c>
      <c r="G29" s="36">
        <f t="shared" ref="G29:G92" si="1">F29*D29</f>
        <v>3379835</v>
      </c>
      <c r="H29" s="20"/>
      <c r="I29" s="20"/>
    </row>
    <row r="30" spans="1:9" ht="12.75" x14ac:dyDescent="0.2">
      <c r="A30" s="83" t="s">
        <v>16</v>
      </c>
      <c r="B30" s="36">
        <v>27.03</v>
      </c>
      <c r="C30" s="36">
        <v>127818.017018128</v>
      </c>
      <c r="D30" s="56">
        <v>3489470</v>
      </c>
      <c r="E30" s="36">
        <v>15</v>
      </c>
      <c r="F30" s="36">
        <v>1</v>
      </c>
      <c r="G30" s="36">
        <f t="shared" si="1"/>
        <v>3489470</v>
      </c>
      <c r="H30" s="20"/>
      <c r="I30" s="20"/>
    </row>
    <row r="31" spans="1:9" ht="12.75" x14ac:dyDescent="0.2">
      <c r="A31" s="83" t="s">
        <v>16</v>
      </c>
      <c r="B31" s="36">
        <v>30.18</v>
      </c>
      <c r="C31" s="36">
        <v>124773.35984095428</v>
      </c>
      <c r="D31" s="56">
        <v>3864269</v>
      </c>
      <c r="E31" s="36">
        <v>14</v>
      </c>
      <c r="F31" s="36">
        <v>1</v>
      </c>
      <c r="G31" s="36">
        <f t="shared" si="1"/>
        <v>3864269</v>
      </c>
      <c r="H31" s="20"/>
      <c r="I31" s="20"/>
    </row>
    <row r="32" spans="1:9" ht="12.75" x14ac:dyDescent="0.2">
      <c r="A32" s="83">
        <v>1</v>
      </c>
      <c r="B32" s="36">
        <v>37.81</v>
      </c>
      <c r="C32" s="36">
        <f>D32/B32</f>
        <v>123809.44194657497</v>
      </c>
      <c r="D32" s="56">
        <v>4681235</v>
      </c>
      <c r="E32" s="36">
        <v>3</v>
      </c>
      <c r="F32" s="36">
        <v>1</v>
      </c>
      <c r="G32" s="36">
        <f t="shared" si="1"/>
        <v>4681235</v>
      </c>
      <c r="H32" s="20"/>
      <c r="I32" s="20"/>
    </row>
    <row r="33" spans="1:9" ht="12.75" x14ac:dyDescent="0.2">
      <c r="A33" s="83">
        <v>1</v>
      </c>
      <c r="B33" s="36">
        <v>39.32</v>
      </c>
      <c r="C33" s="36">
        <f>D33/B33</f>
        <v>123809.46083418108</v>
      </c>
      <c r="D33" s="56">
        <v>4868188</v>
      </c>
      <c r="E33" s="36">
        <v>7</v>
      </c>
      <c r="F33" s="36">
        <v>1</v>
      </c>
      <c r="G33" s="36">
        <f t="shared" si="1"/>
        <v>4868188</v>
      </c>
      <c r="H33" s="20"/>
      <c r="I33" s="20"/>
    </row>
    <row r="34" spans="1:9" ht="12.75" x14ac:dyDescent="0.2">
      <c r="A34" s="83">
        <v>1</v>
      </c>
      <c r="B34" s="36">
        <v>40.07</v>
      </c>
      <c r="C34" s="36">
        <v>118738.00848515099</v>
      </c>
      <c r="D34" s="56">
        <v>4805410</v>
      </c>
      <c r="E34" s="36">
        <v>15</v>
      </c>
      <c r="F34" s="36">
        <v>1</v>
      </c>
      <c r="G34" s="36">
        <f t="shared" si="1"/>
        <v>4805410</v>
      </c>
      <c r="H34" s="20"/>
      <c r="I34" s="20"/>
    </row>
    <row r="35" spans="1:9" ht="12.75" x14ac:dyDescent="0.2">
      <c r="A35" s="83">
        <v>2</v>
      </c>
      <c r="B35" s="36">
        <v>41.82</v>
      </c>
      <c r="C35" s="36">
        <v>117634.00286944046</v>
      </c>
      <c r="D35" s="56">
        <v>4968648</v>
      </c>
      <c r="E35" s="36">
        <v>8</v>
      </c>
      <c r="F35" s="36">
        <v>1</v>
      </c>
      <c r="G35" s="36">
        <f t="shared" si="1"/>
        <v>4968648</v>
      </c>
      <c r="H35" s="20"/>
      <c r="I35" s="20"/>
    </row>
    <row r="36" spans="1:9" ht="12.75" x14ac:dyDescent="0.2">
      <c r="A36" s="83">
        <v>2</v>
      </c>
      <c r="B36" s="36">
        <v>42.77</v>
      </c>
      <c r="C36" s="36">
        <v>118737.99392097263</v>
      </c>
      <c r="D36" s="56">
        <v>5129209</v>
      </c>
      <c r="E36" s="36">
        <v>9</v>
      </c>
      <c r="F36" s="36">
        <v>1</v>
      </c>
      <c r="G36" s="36">
        <f t="shared" si="1"/>
        <v>5129209</v>
      </c>
      <c r="H36" s="20"/>
      <c r="I36" s="20"/>
    </row>
    <row r="37" spans="1:9" ht="12.75" x14ac:dyDescent="0.2">
      <c r="A37" s="83">
        <v>2</v>
      </c>
      <c r="B37" s="36">
        <v>42.77</v>
      </c>
      <c r="C37" s="36">
        <v>118737.99392097263</v>
      </c>
      <c r="D37" s="56">
        <v>5129209</v>
      </c>
      <c r="E37" s="36">
        <v>11</v>
      </c>
      <c r="F37" s="36">
        <v>1</v>
      </c>
      <c r="G37" s="36">
        <f t="shared" si="1"/>
        <v>5129209</v>
      </c>
      <c r="H37" s="20"/>
      <c r="I37" s="20"/>
    </row>
    <row r="38" spans="1:9" ht="12.75" x14ac:dyDescent="0.2">
      <c r="A38" s="83">
        <v>2</v>
      </c>
      <c r="B38" s="36">
        <v>42.77</v>
      </c>
      <c r="C38" s="36">
        <v>118737.99392097263</v>
      </c>
      <c r="D38" s="56">
        <v>5129209</v>
      </c>
      <c r="E38" s="36">
        <v>13</v>
      </c>
      <c r="F38" s="36">
        <v>1</v>
      </c>
      <c r="G38" s="36">
        <f t="shared" si="1"/>
        <v>5129209</v>
      </c>
      <c r="H38" s="20"/>
      <c r="I38" s="20"/>
    </row>
    <row r="39" spans="1:9" ht="12.75" x14ac:dyDescent="0.2">
      <c r="A39" s="83">
        <v>2</v>
      </c>
      <c r="B39" s="36">
        <v>42.77</v>
      </c>
      <c r="C39" s="36">
        <v>120902.99275192892</v>
      </c>
      <c r="D39" s="56">
        <v>5222732</v>
      </c>
      <c r="E39" s="36">
        <v>15</v>
      </c>
      <c r="F39" s="36">
        <v>1</v>
      </c>
      <c r="G39" s="36">
        <f t="shared" si="1"/>
        <v>5222732</v>
      </c>
    </row>
    <row r="40" spans="1:9" ht="12.75" x14ac:dyDescent="0.2">
      <c r="A40" s="83">
        <v>2</v>
      </c>
      <c r="B40" s="36">
        <v>42.95</v>
      </c>
      <c r="C40" s="36">
        <v>117676.99650756693</v>
      </c>
      <c r="D40" s="56">
        <v>5054227</v>
      </c>
      <c r="E40" s="36">
        <v>2</v>
      </c>
      <c r="F40" s="36">
        <v>1</v>
      </c>
      <c r="G40" s="36">
        <f t="shared" si="1"/>
        <v>5054227</v>
      </c>
    </row>
    <row r="41" spans="1:9" ht="12.75" x14ac:dyDescent="0.2">
      <c r="A41" s="83">
        <v>2</v>
      </c>
      <c r="B41" s="36">
        <v>44.57</v>
      </c>
      <c r="C41" s="36">
        <v>117677.00246802781</v>
      </c>
      <c r="D41" s="56">
        <v>5297313</v>
      </c>
      <c r="E41" s="36">
        <v>7</v>
      </c>
      <c r="F41" s="36">
        <v>1</v>
      </c>
      <c r="G41" s="36">
        <f t="shared" si="1"/>
        <v>5297313</v>
      </c>
      <c r="H41" s="20"/>
      <c r="I41" s="20"/>
    </row>
    <row r="42" spans="1:9" ht="12.75" x14ac:dyDescent="0.2">
      <c r="A42" s="83">
        <v>2</v>
      </c>
      <c r="B42" s="36">
        <v>45.45</v>
      </c>
      <c r="C42" s="36">
        <v>117677.00770077007</v>
      </c>
      <c r="D42" s="56">
        <v>5401904</v>
      </c>
      <c r="E42" s="36">
        <v>10</v>
      </c>
      <c r="F42" s="36">
        <v>1</v>
      </c>
      <c r="G42" s="36">
        <f t="shared" si="1"/>
        <v>5401904</v>
      </c>
      <c r="H42" s="20"/>
      <c r="I42" s="20"/>
    </row>
    <row r="43" spans="1:9" ht="12.75" x14ac:dyDescent="0.2">
      <c r="A43" s="83">
        <v>2</v>
      </c>
      <c r="B43" s="36">
        <v>45.45</v>
      </c>
      <c r="C43" s="36">
        <v>120677.00770077007</v>
      </c>
      <c r="D43" s="56">
        <v>5539617</v>
      </c>
      <c r="E43" s="36">
        <v>15</v>
      </c>
      <c r="F43" s="36">
        <v>1</v>
      </c>
      <c r="G43" s="36">
        <f t="shared" si="1"/>
        <v>5539617</v>
      </c>
      <c r="H43" s="20"/>
      <c r="I43" s="20"/>
    </row>
    <row r="44" spans="1:9" ht="12.75" x14ac:dyDescent="0.2">
      <c r="A44" s="83">
        <v>2</v>
      </c>
      <c r="B44" s="36">
        <v>51.2</v>
      </c>
      <c r="C44" s="36">
        <f>D44/B44</f>
        <v>117137.79296875</v>
      </c>
      <c r="D44" s="56">
        <v>5997455</v>
      </c>
      <c r="E44" s="36">
        <v>7</v>
      </c>
      <c r="F44" s="36">
        <v>1</v>
      </c>
      <c r="G44" s="36">
        <f t="shared" si="1"/>
        <v>5997455</v>
      </c>
      <c r="H44" s="20"/>
      <c r="I44" s="20"/>
    </row>
    <row r="45" spans="1:9" ht="12.75" x14ac:dyDescent="0.2">
      <c r="A45" s="83">
        <v>2</v>
      </c>
      <c r="B45" s="36">
        <v>52.97</v>
      </c>
      <c r="C45" s="36">
        <v>112353.992826128</v>
      </c>
      <c r="D45" s="56">
        <v>6010905</v>
      </c>
      <c r="E45" s="36">
        <v>11</v>
      </c>
      <c r="F45" s="36">
        <v>1</v>
      </c>
      <c r="G45" s="36">
        <f t="shared" si="1"/>
        <v>6010905</v>
      </c>
      <c r="H45" s="20"/>
      <c r="I45" s="20"/>
    </row>
    <row r="46" spans="1:9" ht="12.75" x14ac:dyDescent="0.2">
      <c r="A46" s="83">
        <v>2</v>
      </c>
      <c r="B46" s="36">
        <v>52.97</v>
      </c>
      <c r="C46" s="36">
        <v>112353.992826128</v>
      </c>
      <c r="D46" s="56">
        <v>6010905</v>
      </c>
      <c r="E46" s="36">
        <v>13</v>
      </c>
      <c r="F46" s="36">
        <v>1</v>
      </c>
      <c r="G46" s="36">
        <f t="shared" si="1"/>
        <v>6010905</v>
      </c>
      <c r="H46" s="20"/>
      <c r="I46" s="20"/>
    </row>
    <row r="47" spans="1:9" ht="12.75" x14ac:dyDescent="0.2">
      <c r="A47" s="181">
        <v>2</v>
      </c>
      <c r="B47" s="36">
        <v>52.97</v>
      </c>
      <c r="C47" s="36">
        <v>115448.00830658864</v>
      </c>
      <c r="D47" s="56">
        <v>6176433</v>
      </c>
      <c r="E47" s="36">
        <v>15</v>
      </c>
      <c r="F47" s="36">
        <v>1</v>
      </c>
      <c r="G47" s="36">
        <f t="shared" si="1"/>
        <v>6176433</v>
      </c>
      <c r="H47" s="20"/>
      <c r="I47" s="20"/>
    </row>
    <row r="48" spans="1:9" ht="12.75" x14ac:dyDescent="0.2">
      <c r="A48" s="181">
        <v>2</v>
      </c>
      <c r="B48" s="36">
        <v>52.97</v>
      </c>
      <c r="C48" s="36">
        <f>D48/B48</f>
        <v>121467.79309042855</v>
      </c>
      <c r="D48" s="56">
        <v>6434149</v>
      </c>
      <c r="E48" s="36" t="s">
        <v>330</v>
      </c>
      <c r="F48" s="36">
        <v>2</v>
      </c>
      <c r="G48" s="36">
        <f t="shared" si="1"/>
        <v>12868298</v>
      </c>
      <c r="H48" s="20"/>
      <c r="I48" s="20"/>
    </row>
    <row r="49" spans="1:10" ht="12.75" x14ac:dyDescent="0.2">
      <c r="A49" s="181">
        <v>2</v>
      </c>
      <c r="B49" s="36">
        <v>52.97</v>
      </c>
      <c r="C49" s="36">
        <f>D49/B49</f>
        <v>125229.90371908627</v>
      </c>
      <c r="D49" s="56">
        <v>6633428</v>
      </c>
      <c r="E49" s="36">
        <v>15</v>
      </c>
      <c r="F49" s="36">
        <v>1</v>
      </c>
      <c r="G49" s="36">
        <f t="shared" si="1"/>
        <v>6633428</v>
      </c>
      <c r="H49" s="20"/>
      <c r="I49" s="20"/>
    </row>
    <row r="50" spans="1:10" ht="12.75" x14ac:dyDescent="0.2">
      <c r="A50" s="83">
        <v>2</v>
      </c>
      <c r="B50" s="36">
        <v>58.61</v>
      </c>
      <c r="C50" s="36">
        <v>120844.00272990957</v>
      </c>
      <c r="D50" s="56">
        <v>7153494</v>
      </c>
      <c r="E50" s="36">
        <v>12</v>
      </c>
      <c r="F50" s="36">
        <v>1</v>
      </c>
      <c r="G50" s="36">
        <f t="shared" si="1"/>
        <v>7153494</v>
      </c>
      <c r="H50" s="20"/>
      <c r="I50" s="20"/>
      <c r="J50" s="59"/>
    </row>
    <row r="51" spans="1:10" ht="12.75" x14ac:dyDescent="0.2">
      <c r="A51" s="83">
        <v>3</v>
      </c>
      <c r="B51" s="36">
        <v>73.680000000000007</v>
      </c>
      <c r="C51" s="36">
        <v>110177.99945711183</v>
      </c>
      <c r="D51" s="56">
        <v>8199094</v>
      </c>
      <c r="E51" s="36">
        <v>5</v>
      </c>
      <c r="F51" s="36">
        <v>1</v>
      </c>
      <c r="G51" s="36">
        <f t="shared" si="1"/>
        <v>8199094</v>
      </c>
      <c r="H51" s="20"/>
      <c r="I51" s="20"/>
      <c r="J51" s="59"/>
    </row>
    <row r="52" spans="1:10" ht="12.75" x14ac:dyDescent="0.2">
      <c r="A52" s="83">
        <v>3</v>
      </c>
      <c r="B52" s="36">
        <v>76</v>
      </c>
      <c r="C52" s="36">
        <v>110073</v>
      </c>
      <c r="D52" s="56">
        <v>8449203</v>
      </c>
      <c r="E52" s="36">
        <v>11</v>
      </c>
      <c r="F52" s="36">
        <v>1</v>
      </c>
      <c r="G52" s="36">
        <f t="shared" si="1"/>
        <v>8449203</v>
      </c>
      <c r="H52" s="20"/>
      <c r="I52" s="20"/>
      <c r="J52" s="59"/>
    </row>
    <row r="53" spans="1:10" ht="12.75" x14ac:dyDescent="0.2">
      <c r="A53" s="83">
        <v>3</v>
      </c>
      <c r="B53" s="36">
        <v>76</v>
      </c>
      <c r="C53" s="36">
        <v>112280</v>
      </c>
      <c r="D53" s="56">
        <v>8618613</v>
      </c>
      <c r="E53" s="36">
        <v>15</v>
      </c>
      <c r="F53" s="36">
        <v>1</v>
      </c>
      <c r="G53" s="36">
        <f t="shared" si="1"/>
        <v>8618613</v>
      </c>
      <c r="H53" s="20"/>
      <c r="I53" s="20"/>
      <c r="J53" s="59"/>
    </row>
    <row r="54" spans="1:10" ht="12.75" x14ac:dyDescent="0.2">
      <c r="A54" s="83">
        <v>3</v>
      </c>
      <c r="B54" s="36">
        <v>76</v>
      </c>
      <c r="C54" s="36">
        <v>110073</v>
      </c>
      <c r="D54" s="56">
        <v>8449203</v>
      </c>
      <c r="E54" s="36">
        <v>13</v>
      </c>
      <c r="F54" s="36">
        <v>1</v>
      </c>
      <c r="G54" s="36">
        <f t="shared" si="1"/>
        <v>8449203</v>
      </c>
      <c r="H54" s="20"/>
      <c r="I54" s="20"/>
      <c r="J54" s="59"/>
    </row>
    <row r="55" spans="1:10" ht="12.75" x14ac:dyDescent="0.2">
      <c r="A55" s="83">
        <v>3</v>
      </c>
      <c r="B55" s="36">
        <v>76</v>
      </c>
      <c r="C55" s="36">
        <v>110073</v>
      </c>
      <c r="D55" s="56">
        <v>8449203</v>
      </c>
      <c r="E55" s="36">
        <v>9</v>
      </c>
      <c r="F55" s="36">
        <v>1</v>
      </c>
      <c r="G55" s="36">
        <f t="shared" si="1"/>
        <v>8449203</v>
      </c>
      <c r="H55" s="20"/>
      <c r="I55" s="20"/>
    </row>
    <row r="56" spans="1:10" ht="12.75" x14ac:dyDescent="0.2">
      <c r="A56" s="306" t="s">
        <v>146</v>
      </c>
      <c r="B56" s="307"/>
      <c r="C56" s="307"/>
      <c r="D56" s="307"/>
      <c r="E56" s="176"/>
      <c r="H56" s="20"/>
      <c r="I56" s="20"/>
    </row>
    <row r="57" spans="1:10" ht="12.75" x14ac:dyDescent="0.2">
      <c r="A57" s="178" t="s">
        <v>6</v>
      </c>
      <c r="B57" s="178" t="s">
        <v>7</v>
      </c>
      <c r="C57" s="178" t="s">
        <v>11</v>
      </c>
      <c r="D57" s="178" t="s">
        <v>12</v>
      </c>
      <c r="E57" s="178" t="s">
        <v>10</v>
      </c>
      <c r="H57" s="20"/>
      <c r="I57" s="20"/>
    </row>
    <row r="58" spans="1:10" ht="12.75" x14ac:dyDescent="0.2">
      <c r="A58" s="83" t="s">
        <v>16</v>
      </c>
      <c r="B58" s="36">
        <v>22.99</v>
      </c>
      <c r="C58" s="36">
        <f>D58/B58</f>
        <v>122570.59591126577</v>
      </c>
      <c r="D58" s="56">
        <v>2817898</v>
      </c>
      <c r="E58" s="36" t="s">
        <v>325</v>
      </c>
      <c r="F58" s="36">
        <v>2</v>
      </c>
      <c r="G58" s="36">
        <v>2762645</v>
      </c>
      <c r="H58" s="20"/>
      <c r="I58" s="20"/>
    </row>
    <row r="59" spans="1:10" ht="12.75" x14ac:dyDescent="0.2">
      <c r="A59" s="83" t="s">
        <v>16</v>
      </c>
      <c r="B59" s="36">
        <v>25.05</v>
      </c>
      <c r="C59" s="36">
        <v>119605.18962075848</v>
      </c>
      <c r="D59" s="56">
        <v>3056032</v>
      </c>
      <c r="E59" s="36">
        <v>16</v>
      </c>
      <c r="F59" s="36">
        <v>1</v>
      </c>
      <c r="G59" s="36">
        <f t="shared" ref="G59:G68" si="2">F59*D59</f>
        <v>3056032</v>
      </c>
      <c r="H59" s="20"/>
      <c r="I59" s="20"/>
    </row>
    <row r="60" spans="1:10" ht="12.75" x14ac:dyDescent="0.2">
      <c r="A60" s="83" t="s">
        <v>16</v>
      </c>
      <c r="B60" s="36">
        <v>25.83</v>
      </c>
      <c r="C60" s="36">
        <f>D60/B60</f>
        <v>118813.70499419281</v>
      </c>
      <c r="D60" s="56">
        <v>3068958</v>
      </c>
      <c r="E60" s="36">
        <v>2</v>
      </c>
      <c r="F60" s="36">
        <v>1</v>
      </c>
      <c r="G60" s="56">
        <v>3068958</v>
      </c>
      <c r="H60" s="20"/>
      <c r="I60" s="20"/>
    </row>
    <row r="61" spans="1:10" ht="12.75" x14ac:dyDescent="0.2">
      <c r="A61" s="83" t="s">
        <v>16</v>
      </c>
      <c r="B61" s="36">
        <v>25.83</v>
      </c>
      <c r="C61" s="36">
        <v>116484.01084010841</v>
      </c>
      <c r="D61" s="56">
        <v>3133374</v>
      </c>
      <c r="E61" s="36">
        <v>3</v>
      </c>
      <c r="F61" s="36">
        <v>1</v>
      </c>
      <c r="G61" s="36">
        <f t="shared" si="2"/>
        <v>3133374</v>
      </c>
      <c r="H61" s="20"/>
      <c r="I61" s="20"/>
    </row>
    <row r="62" spans="1:10" ht="12.75" x14ac:dyDescent="0.2">
      <c r="A62" s="83" t="s">
        <v>16</v>
      </c>
      <c r="B62" s="36">
        <v>26.81</v>
      </c>
      <c r="C62" s="36">
        <v>116483.9985080194</v>
      </c>
      <c r="D62" s="56">
        <v>3185395</v>
      </c>
      <c r="E62" s="36">
        <v>6</v>
      </c>
      <c r="F62" s="36">
        <v>1</v>
      </c>
      <c r="G62" s="36">
        <f t="shared" si="2"/>
        <v>3185395</v>
      </c>
      <c r="H62" s="20"/>
      <c r="I62" s="20"/>
    </row>
    <row r="63" spans="1:10" ht="12.75" x14ac:dyDescent="0.2">
      <c r="A63" s="83" t="s">
        <v>16</v>
      </c>
      <c r="B63" s="36">
        <v>26.81</v>
      </c>
      <c r="C63" s="36">
        <v>116483.9985080194</v>
      </c>
      <c r="D63" s="56">
        <v>3185395</v>
      </c>
      <c r="E63" s="36">
        <v>8</v>
      </c>
      <c r="F63" s="36">
        <v>1</v>
      </c>
      <c r="G63" s="36">
        <f t="shared" si="2"/>
        <v>3185395</v>
      </c>
      <c r="H63" s="20"/>
      <c r="I63" s="20"/>
    </row>
    <row r="64" spans="1:10" ht="12.75" x14ac:dyDescent="0.2">
      <c r="A64" s="83" t="s">
        <v>16</v>
      </c>
      <c r="B64" s="36">
        <v>27.03</v>
      </c>
      <c r="C64" s="36">
        <v>116484.01775804661</v>
      </c>
      <c r="D64" s="56">
        <v>3211534</v>
      </c>
      <c r="E64" s="36">
        <v>12</v>
      </c>
      <c r="F64" s="36">
        <v>1</v>
      </c>
      <c r="G64" s="36">
        <f t="shared" si="2"/>
        <v>3211534</v>
      </c>
      <c r="H64" s="20"/>
      <c r="I64" s="20"/>
    </row>
    <row r="65" spans="1:9" ht="12.75" x14ac:dyDescent="0.2">
      <c r="A65" s="83" t="s">
        <v>16</v>
      </c>
      <c r="B65" s="36">
        <v>27.03</v>
      </c>
      <c r="C65" s="36">
        <v>116484.01775804661</v>
      </c>
      <c r="D65" s="56">
        <v>3211534</v>
      </c>
      <c r="E65" s="36">
        <v>14</v>
      </c>
      <c r="F65" s="36">
        <v>1</v>
      </c>
      <c r="G65" s="36">
        <f t="shared" si="2"/>
        <v>3211534</v>
      </c>
      <c r="H65" s="20"/>
      <c r="I65" s="20"/>
    </row>
    <row r="66" spans="1:9" ht="12.75" x14ac:dyDescent="0.2">
      <c r="A66" s="83" t="s">
        <v>16</v>
      </c>
      <c r="B66" s="36">
        <v>27.03</v>
      </c>
      <c r="C66" s="36">
        <v>116484.01775804661</v>
      </c>
      <c r="D66" s="56">
        <v>3211534</v>
      </c>
      <c r="E66" s="36">
        <v>16</v>
      </c>
      <c r="F66" s="36">
        <v>1</v>
      </c>
      <c r="G66" s="36">
        <f t="shared" si="2"/>
        <v>3211534</v>
      </c>
      <c r="H66" s="20"/>
      <c r="I66" s="20"/>
    </row>
    <row r="67" spans="1:9" ht="12.75" x14ac:dyDescent="0.2">
      <c r="A67" s="83" t="s">
        <v>16</v>
      </c>
      <c r="B67" s="36">
        <v>28.39</v>
      </c>
      <c r="C67" s="36">
        <f>D67/B67</f>
        <v>119226.73476576259</v>
      </c>
      <c r="D67" s="56">
        <v>3384847</v>
      </c>
      <c r="E67" s="36">
        <v>3</v>
      </c>
      <c r="F67" s="36">
        <v>1</v>
      </c>
      <c r="G67" s="36">
        <f t="shared" si="2"/>
        <v>3384847</v>
      </c>
      <c r="H67" s="20"/>
      <c r="I67" s="20"/>
    </row>
    <row r="68" spans="1:9" ht="12.75" x14ac:dyDescent="0.2">
      <c r="A68" s="83" t="s">
        <v>16</v>
      </c>
      <c r="B68" s="36">
        <v>29.65</v>
      </c>
      <c r="C68" s="36">
        <v>113548.43170320406</v>
      </c>
      <c r="D68" s="56">
        <v>3434045</v>
      </c>
      <c r="E68" s="36">
        <v>8</v>
      </c>
      <c r="F68" s="36">
        <v>1</v>
      </c>
      <c r="G68" s="36">
        <f t="shared" si="2"/>
        <v>3434045</v>
      </c>
      <c r="H68" s="20"/>
      <c r="I68" s="20"/>
    </row>
    <row r="69" spans="1:9" ht="12.75" x14ac:dyDescent="0.2">
      <c r="A69" s="83" t="s">
        <v>16</v>
      </c>
      <c r="B69" s="36">
        <v>30.18</v>
      </c>
      <c r="C69" s="36">
        <v>116732.86944996686</v>
      </c>
      <c r="D69" s="56">
        <v>3593458</v>
      </c>
      <c r="E69" s="36">
        <v>16</v>
      </c>
      <c r="F69" s="36">
        <v>1</v>
      </c>
      <c r="G69" s="36">
        <f t="shared" si="1"/>
        <v>3593458</v>
      </c>
      <c r="H69" s="20"/>
      <c r="I69" s="20"/>
    </row>
    <row r="70" spans="1:9" ht="12.75" x14ac:dyDescent="0.2">
      <c r="A70" s="83" t="s">
        <v>16</v>
      </c>
      <c r="B70" s="36">
        <v>30.18</v>
      </c>
      <c r="C70" s="36">
        <v>113549.23790589794</v>
      </c>
      <c r="D70" s="56">
        <v>3495454</v>
      </c>
      <c r="E70" s="36">
        <v>14</v>
      </c>
      <c r="F70" s="36">
        <v>1</v>
      </c>
      <c r="G70" s="36">
        <f t="shared" si="1"/>
        <v>3495454</v>
      </c>
      <c r="H70" s="20"/>
      <c r="I70" s="20"/>
    </row>
    <row r="71" spans="1:9" ht="12.75" x14ac:dyDescent="0.2">
      <c r="A71" s="83">
        <v>1</v>
      </c>
      <c r="B71" s="36">
        <v>34.590000000000003</v>
      </c>
      <c r="C71" s="36">
        <v>119916.50766117373</v>
      </c>
      <c r="D71" s="56">
        <v>4230870</v>
      </c>
      <c r="E71" s="36">
        <v>16</v>
      </c>
      <c r="F71" s="36">
        <v>1</v>
      </c>
      <c r="G71" s="36">
        <f t="shared" si="1"/>
        <v>4230870</v>
      </c>
      <c r="H71" s="20"/>
      <c r="I71" s="20"/>
    </row>
    <row r="72" spans="1:9" ht="12.75" x14ac:dyDescent="0.2">
      <c r="A72" s="83">
        <v>1</v>
      </c>
      <c r="B72" s="36">
        <v>34.590000000000003</v>
      </c>
      <c r="C72" s="36">
        <v>116732.87077189938</v>
      </c>
      <c r="D72" s="56">
        <v>4118546</v>
      </c>
      <c r="E72" s="36">
        <v>14</v>
      </c>
      <c r="F72" s="36">
        <v>1</v>
      </c>
      <c r="G72" s="36">
        <f t="shared" si="1"/>
        <v>4118546</v>
      </c>
      <c r="H72" s="20"/>
      <c r="I72" s="20"/>
    </row>
    <row r="73" spans="1:9" ht="12.75" x14ac:dyDescent="0.2">
      <c r="A73" s="83">
        <v>1</v>
      </c>
      <c r="B73" s="36">
        <v>36.200000000000003</v>
      </c>
      <c r="C73" s="36">
        <v>112437.87292817679</v>
      </c>
      <c r="D73" s="56">
        <v>4230803</v>
      </c>
      <c r="E73" s="36">
        <v>1</v>
      </c>
      <c r="F73" s="36">
        <v>1</v>
      </c>
      <c r="G73" s="36">
        <f t="shared" si="1"/>
        <v>4230803</v>
      </c>
      <c r="H73" s="20"/>
      <c r="I73" s="20"/>
    </row>
    <row r="74" spans="1:9" ht="12.75" x14ac:dyDescent="0.2">
      <c r="A74" s="83">
        <v>1</v>
      </c>
      <c r="B74" s="36">
        <v>36.200000000000003</v>
      </c>
      <c r="C74" s="36">
        <f>D74/B74</f>
        <v>114581.71270718231</v>
      </c>
      <c r="D74" s="56">
        <v>4147858</v>
      </c>
      <c r="E74" s="36">
        <v>3</v>
      </c>
      <c r="F74" s="36">
        <v>1</v>
      </c>
      <c r="G74" s="36">
        <f t="shared" si="1"/>
        <v>4147858</v>
      </c>
      <c r="H74" s="20"/>
      <c r="I74" s="20"/>
    </row>
    <row r="75" spans="1:9" ht="12.75" x14ac:dyDescent="0.2">
      <c r="A75" s="83">
        <v>1</v>
      </c>
      <c r="B75" s="36">
        <v>39.32</v>
      </c>
      <c r="C75" s="36">
        <v>109221.99898270601</v>
      </c>
      <c r="D75" s="56">
        <v>4380501</v>
      </c>
      <c r="E75" s="36">
        <v>6</v>
      </c>
      <c r="F75" s="36">
        <v>1</v>
      </c>
      <c r="G75" s="36">
        <f t="shared" si="1"/>
        <v>4380501</v>
      </c>
      <c r="H75" s="20"/>
      <c r="I75" s="20"/>
    </row>
    <row r="76" spans="1:9" ht="12.75" x14ac:dyDescent="0.2">
      <c r="A76" s="83">
        <v>1</v>
      </c>
      <c r="B76" s="36">
        <v>40.07</v>
      </c>
      <c r="C76" s="36">
        <v>112405.66508609932</v>
      </c>
      <c r="D76" s="56">
        <v>4594177</v>
      </c>
      <c r="E76" s="36">
        <v>16</v>
      </c>
      <c r="F76" s="36">
        <v>1</v>
      </c>
      <c r="G76" s="36">
        <f t="shared" si="1"/>
        <v>4594177</v>
      </c>
      <c r="H76" s="20"/>
      <c r="I76" s="20"/>
    </row>
    <row r="77" spans="1:9" ht="12.75" x14ac:dyDescent="0.2">
      <c r="A77" s="83">
        <v>1</v>
      </c>
      <c r="B77" s="36">
        <v>40.07</v>
      </c>
      <c r="C77" s="36">
        <v>109221.98652358372</v>
      </c>
      <c r="D77" s="56">
        <v>4464056</v>
      </c>
      <c r="E77" s="36">
        <v>12</v>
      </c>
      <c r="F77" s="36">
        <v>1</v>
      </c>
      <c r="G77" s="36">
        <f t="shared" si="1"/>
        <v>4464056</v>
      </c>
      <c r="H77" s="20"/>
      <c r="I77" s="20"/>
    </row>
    <row r="78" spans="1:9" ht="12.75" x14ac:dyDescent="0.2">
      <c r="A78" s="83">
        <v>1</v>
      </c>
      <c r="B78" s="36">
        <v>40.07</v>
      </c>
      <c r="C78" s="36">
        <v>109221.98652358372</v>
      </c>
      <c r="D78" s="56">
        <v>4464056</v>
      </c>
      <c r="E78" s="36">
        <v>14</v>
      </c>
      <c r="F78" s="36">
        <v>1</v>
      </c>
      <c r="G78" s="36">
        <f t="shared" si="1"/>
        <v>4464056</v>
      </c>
      <c r="H78" s="20"/>
      <c r="I78" s="20"/>
    </row>
    <row r="79" spans="1:9" ht="12.75" x14ac:dyDescent="0.2">
      <c r="A79" s="83">
        <v>2</v>
      </c>
      <c r="B79" s="36">
        <v>41.82</v>
      </c>
      <c r="C79" s="36">
        <v>110273.21855571496</v>
      </c>
      <c r="D79" s="56">
        <v>4703859</v>
      </c>
      <c r="E79" s="36">
        <v>8</v>
      </c>
      <c r="F79" s="36">
        <v>1</v>
      </c>
      <c r="G79" s="36">
        <f t="shared" si="1"/>
        <v>4703859</v>
      </c>
      <c r="H79" s="20"/>
      <c r="I79" s="20"/>
    </row>
    <row r="80" spans="1:9" ht="12.75" x14ac:dyDescent="0.2">
      <c r="A80" s="83">
        <v>2</v>
      </c>
      <c r="B80" s="36">
        <v>41.82</v>
      </c>
      <c r="C80" s="36">
        <v>110273.21855571496</v>
      </c>
      <c r="D80" s="56">
        <v>4703859</v>
      </c>
      <c r="E80" s="36">
        <v>4</v>
      </c>
      <c r="F80" s="36">
        <v>1</v>
      </c>
      <c r="G80" s="36">
        <f t="shared" si="1"/>
        <v>4703859</v>
      </c>
      <c r="H80" s="20"/>
      <c r="I80" s="20"/>
    </row>
    <row r="81" spans="1:9" ht="12.75" x14ac:dyDescent="0.2">
      <c r="A81" s="83">
        <v>2</v>
      </c>
      <c r="B81" s="36">
        <v>41.82</v>
      </c>
      <c r="C81" s="36">
        <v>110273.21855571496</v>
      </c>
      <c r="D81" s="56">
        <v>4703859</v>
      </c>
      <c r="E81" s="36">
        <v>6</v>
      </c>
      <c r="F81" s="36">
        <v>1</v>
      </c>
      <c r="G81" s="36">
        <f t="shared" si="1"/>
        <v>4703859</v>
      </c>
      <c r="H81" s="20"/>
      <c r="I81" s="20"/>
    </row>
    <row r="82" spans="1:9" ht="12.75" x14ac:dyDescent="0.2">
      <c r="A82" s="83">
        <v>2</v>
      </c>
      <c r="B82" s="36">
        <v>42.77</v>
      </c>
      <c r="C82" s="36">
        <v>110273.20551788637</v>
      </c>
      <c r="D82" s="56">
        <v>4810713</v>
      </c>
      <c r="E82" s="36">
        <v>10</v>
      </c>
      <c r="F82" s="36">
        <v>1</v>
      </c>
      <c r="G82" s="36">
        <f t="shared" si="1"/>
        <v>4810713</v>
      </c>
      <c r="H82" s="20"/>
      <c r="I82" s="20"/>
    </row>
    <row r="83" spans="1:9" ht="12.75" x14ac:dyDescent="0.2">
      <c r="A83" s="83">
        <v>2</v>
      </c>
      <c r="B83" s="36">
        <v>42.77</v>
      </c>
      <c r="C83" s="36">
        <v>110273.20551788637</v>
      </c>
      <c r="D83" s="56">
        <v>4810713</v>
      </c>
      <c r="E83" s="36">
        <v>12</v>
      </c>
      <c r="F83" s="36">
        <v>1</v>
      </c>
      <c r="G83" s="36">
        <f t="shared" si="1"/>
        <v>4810713</v>
      </c>
      <c r="H83" s="20"/>
      <c r="I83" s="20"/>
    </row>
    <row r="84" spans="1:9" ht="12.75" x14ac:dyDescent="0.2">
      <c r="A84" s="83">
        <v>2</v>
      </c>
      <c r="B84" s="36">
        <v>42.77</v>
      </c>
      <c r="C84" s="36">
        <v>110273.20551788637</v>
      </c>
      <c r="D84" s="56">
        <v>4810713</v>
      </c>
      <c r="E84" s="36">
        <v>14</v>
      </c>
      <c r="F84" s="36">
        <v>1</v>
      </c>
      <c r="G84" s="36">
        <f t="shared" si="1"/>
        <v>4810713</v>
      </c>
      <c r="H84" s="20"/>
      <c r="I84" s="20"/>
    </row>
    <row r="85" spans="1:9" ht="12.75" x14ac:dyDescent="0.2">
      <c r="A85" s="83">
        <v>2</v>
      </c>
      <c r="B85" s="36">
        <v>42.77</v>
      </c>
      <c r="C85" s="36">
        <v>113487.65489829319</v>
      </c>
      <c r="D85" s="56">
        <v>4950944</v>
      </c>
      <c r="E85" s="36">
        <v>16</v>
      </c>
      <c r="F85" s="36">
        <v>1</v>
      </c>
      <c r="G85" s="36">
        <f t="shared" si="1"/>
        <v>4950944</v>
      </c>
      <c r="H85" s="20"/>
      <c r="I85" s="20"/>
    </row>
    <row r="86" spans="1:9" ht="12.75" x14ac:dyDescent="0.2">
      <c r="A86" s="83">
        <v>2</v>
      </c>
      <c r="B86" s="36">
        <v>42.95</v>
      </c>
      <c r="C86" s="36">
        <f>D86/B86</f>
        <v>115917.18277066355</v>
      </c>
      <c r="D86" s="56">
        <v>4978643</v>
      </c>
      <c r="E86" s="36">
        <v>3</v>
      </c>
      <c r="F86" s="36">
        <v>1</v>
      </c>
      <c r="G86" s="36">
        <f t="shared" si="1"/>
        <v>4978643</v>
      </c>
      <c r="H86" s="20"/>
      <c r="I86" s="20"/>
    </row>
    <row r="87" spans="1:9" ht="12.75" x14ac:dyDescent="0.2">
      <c r="A87" s="83">
        <v>2</v>
      </c>
      <c r="B87" s="36">
        <v>42.95</v>
      </c>
      <c r="C87" s="36">
        <v>109201.21071012804</v>
      </c>
      <c r="D87" s="56">
        <v>4783996</v>
      </c>
      <c r="E87" s="36">
        <v>2</v>
      </c>
      <c r="F87" s="36">
        <v>1</v>
      </c>
      <c r="G87" s="36">
        <f t="shared" si="1"/>
        <v>4783996</v>
      </c>
      <c r="H87" s="20"/>
      <c r="I87" s="20"/>
    </row>
    <row r="88" spans="1:9" ht="12.75" x14ac:dyDescent="0.2">
      <c r="A88" s="83">
        <v>2</v>
      </c>
      <c r="B88" s="36">
        <v>45.45</v>
      </c>
      <c r="C88" s="36">
        <v>109201.21012101209</v>
      </c>
      <c r="D88" s="56">
        <v>5062459</v>
      </c>
      <c r="E88" s="36">
        <v>12</v>
      </c>
      <c r="F88" s="36">
        <v>1</v>
      </c>
      <c r="G88" s="36">
        <f t="shared" si="1"/>
        <v>5062459</v>
      </c>
      <c r="H88" s="20"/>
      <c r="I88" s="20"/>
    </row>
    <row r="89" spans="1:9" ht="12.75" x14ac:dyDescent="0.2">
      <c r="A89" s="83">
        <v>2</v>
      </c>
      <c r="B89" s="36">
        <v>45.45</v>
      </c>
      <c r="C89" s="36">
        <v>112416.03960396039</v>
      </c>
      <c r="D89" s="56">
        <v>5211495</v>
      </c>
      <c r="E89" s="36">
        <v>16</v>
      </c>
      <c r="F89" s="36">
        <v>1</v>
      </c>
      <c r="G89" s="36">
        <f t="shared" si="1"/>
        <v>5211495</v>
      </c>
    </row>
    <row r="90" spans="1:9" ht="12.75" x14ac:dyDescent="0.2">
      <c r="A90" s="83">
        <v>2</v>
      </c>
      <c r="B90" s="36">
        <v>45.45</v>
      </c>
      <c r="C90" s="36">
        <v>109201.21012101209</v>
      </c>
      <c r="D90" s="56">
        <v>5062459</v>
      </c>
      <c r="E90" s="36">
        <v>10</v>
      </c>
      <c r="F90" s="36">
        <v>1</v>
      </c>
      <c r="G90" s="36">
        <f t="shared" si="1"/>
        <v>5062459</v>
      </c>
    </row>
    <row r="91" spans="1:9" ht="12.75" x14ac:dyDescent="0.2">
      <c r="A91" s="83">
        <v>2</v>
      </c>
      <c r="B91" s="36">
        <v>45.45</v>
      </c>
      <c r="C91" s="36">
        <v>109201.21012101209</v>
      </c>
      <c r="D91" s="56">
        <v>5062459</v>
      </c>
      <c r="E91" s="36">
        <v>14</v>
      </c>
      <c r="F91" s="36">
        <v>1</v>
      </c>
      <c r="G91" s="36">
        <f t="shared" si="1"/>
        <v>5062459</v>
      </c>
    </row>
    <row r="92" spans="1:9" ht="12.75" x14ac:dyDescent="0.2">
      <c r="A92" s="83">
        <v>2</v>
      </c>
      <c r="B92" s="36">
        <v>48.12</v>
      </c>
      <c r="C92" s="36">
        <f>D92/B92</f>
        <v>115588.00914380715</v>
      </c>
      <c r="D92" s="56">
        <v>5562095</v>
      </c>
      <c r="E92" s="36">
        <v>3</v>
      </c>
      <c r="F92" s="36">
        <v>2</v>
      </c>
      <c r="G92" s="36">
        <f t="shared" si="1"/>
        <v>11124190</v>
      </c>
    </row>
    <row r="93" spans="1:9" ht="12.75" x14ac:dyDescent="0.2">
      <c r="A93" s="83">
        <v>2</v>
      </c>
      <c r="B93" s="36">
        <v>51.2</v>
      </c>
      <c r="C93" s="36">
        <v>108005.76171875</v>
      </c>
      <c r="D93" s="56">
        <v>5640493</v>
      </c>
      <c r="E93" s="36">
        <v>8</v>
      </c>
      <c r="F93" s="36">
        <v>1</v>
      </c>
      <c r="G93" s="36">
        <f t="shared" ref="G93:G113" si="3">F93*D93</f>
        <v>5640493</v>
      </c>
    </row>
    <row r="94" spans="1:9" ht="12.75" x14ac:dyDescent="0.2">
      <c r="A94" s="83">
        <v>2</v>
      </c>
      <c r="B94" s="36">
        <v>52.97</v>
      </c>
      <c r="C94" s="36">
        <v>109201.18935246365</v>
      </c>
      <c r="D94" s="56">
        <v>5900075</v>
      </c>
      <c r="E94" s="36">
        <v>12</v>
      </c>
      <c r="F94" s="36">
        <v>1</v>
      </c>
      <c r="G94" s="36">
        <f t="shared" si="3"/>
        <v>5900075</v>
      </c>
    </row>
    <row r="95" spans="1:9" ht="12.75" x14ac:dyDescent="0.2">
      <c r="A95" s="83">
        <v>2</v>
      </c>
      <c r="B95" s="36">
        <v>52.97</v>
      </c>
      <c r="C95" s="36">
        <v>109201.18935246365</v>
      </c>
      <c r="D95" s="56">
        <v>5835486</v>
      </c>
      <c r="E95" s="36">
        <v>10</v>
      </c>
      <c r="F95" s="36">
        <v>1</v>
      </c>
      <c r="G95" s="36">
        <f t="shared" si="3"/>
        <v>5835486</v>
      </c>
    </row>
    <row r="96" spans="1:9" ht="12.75" x14ac:dyDescent="0.2">
      <c r="A96" s="83">
        <v>2</v>
      </c>
      <c r="B96" s="36">
        <v>52.97</v>
      </c>
      <c r="C96" s="36">
        <v>108005.75797621295</v>
      </c>
      <c r="D96" s="56">
        <v>5900075</v>
      </c>
      <c r="E96" s="36">
        <v>14</v>
      </c>
      <c r="F96" s="36">
        <v>1</v>
      </c>
      <c r="G96" s="36">
        <f t="shared" si="3"/>
        <v>5900075</v>
      </c>
    </row>
    <row r="97" spans="1:7" ht="12.75" x14ac:dyDescent="0.2">
      <c r="A97" s="83">
        <v>2</v>
      </c>
      <c r="B97" s="36">
        <v>52.97</v>
      </c>
      <c r="C97" s="36">
        <v>112416.25448367001</v>
      </c>
      <c r="D97" s="56">
        <v>6073783</v>
      </c>
      <c r="E97" s="36">
        <v>16</v>
      </c>
      <c r="F97" s="36">
        <v>2</v>
      </c>
      <c r="G97" s="36">
        <f t="shared" si="3"/>
        <v>12147566</v>
      </c>
    </row>
    <row r="98" spans="1:7" ht="12.75" x14ac:dyDescent="0.2">
      <c r="A98" s="83">
        <v>2</v>
      </c>
      <c r="B98" s="36">
        <v>52.97</v>
      </c>
      <c r="C98" s="36">
        <v>109201.18935246365</v>
      </c>
      <c r="D98" s="56">
        <v>5835486</v>
      </c>
      <c r="E98" s="36">
        <v>14</v>
      </c>
      <c r="F98" s="36">
        <v>1</v>
      </c>
      <c r="G98" s="36">
        <f t="shared" si="3"/>
        <v>5835486</v>
      </c>
    </row>
    <row r="99" spans="1:7" ht="12.75" x14ac:dyDescent="0.2">
      <c r="A99" s="83">
        <v>2</v>
      </c>
      <c r="B99" s="36">
        <v>52.97</v>
      </c>
      <c r="C99" s="36">
        <v>108005.75797621295</v>
      </c>
      <c r="D99" s="56">
        <v>5835486</v>
      </c>
      <c r="E99" s="36">
        <v>12</v>
      </c>
      <c r="F99" s="36">
        <v>1</v>
      </c>
      <c r="G99" s="36">
        <f t="shared" si="3"/>
        <v>5835486</v>
      </c>
    </row>
    <row r="100" spans="1:7" ht="12.75" x14ac:dyDescent="0.2">
      <c r="A100" s="83">
        <v>2</v>
      </c>
      <c r="B100" s="36">
        <v>53.9</v>
      </c>
      <c r="C100" s="36">
        <f>D100/B100</f>
        <v>112519.25788497218</v>
      </c>
      <c r="D100" s="56">
        <v>6064788</v>
      </c>
      <c r="E100" s="36">
        <v>3</v>
      </c>
      <c r="F100" s="36">
        <v>1</v>
      </c>
      <c r="G100" s="36">
        <f t="shared" si="3"/>
        <v>6064788</v>
      </c>
    </row>
    <row r="101" spans="1:7" ht="12.75" x14ac:dyDescent="0.2">
      <c r="A101" s="83">
        <v>2</v>
      </c>
      <c r="B101" s="36">
        <v>55.83</v>
      </c>
      <c r="C101" s="36">
        <f>D101/B101</f>
        <v>114769.65789002329</v>
      </c>
      <c r="D101" s="56">
        <v>6407590</v>
      </c>
      <c r="E101" s="36">
        <v>5</v>
      </c>
      <c r="F101" s="36">
        <v>1</v>
      </c>
      <c r="G101" s="36">
        <f t="shared" si="3"/>
        <v>6407590</v>
      </c>
    </row>
    <row r="102" spans="1:7" ht="12.75" x14ac:dyDescent="0.2">
      <c r="A102" s="83">
        <v>2</v>
      </c>
      <c r="B102" s="36">
        <v>57.77</v>
      </c>
      <c r="C102" s="36">
        <v>108211.78812532456</v>
      </c>
      <c r="D102" s="56">
        <v>6434192</v>
      </c>
      <c r="E102" s="36">
        <v>14</v>
      </c>
      <c r="F102" s="36">
        <v>1</v>
      </c>
      <c r="G102" s="36">
        <f t="shared" si="3"/>
        <v>6434192</v>
      </c>
    </row>
    <row r="103" spans="1:7" ht="12.75" x14ac:dyDescent="0.2">
      <c r="A103" s="83">
        <v>2</v>
      </c>
      <c r="B103" s="36">
        <v>57.77</v>
      </c>
      <c r="C103" s="36">
        <v>110376.0256188333</v>
      </c>
      <c r="D103" s="56">
        <v>6561748</v>
      </c>
      <c r="E103" s="36">
        <v>16</v>
      </c>
      <c r="F103" s="36">
        <v>2</v>
      </c>
      <c r="G103" s="36">
        <f t="shared" si="3"/>
        <v>13123496</v>
      </c>
    </row>
    <row r="104" spans="1:7" ht="12.75" x14ac:dyDescent="0.2">
      <c r="A104" s="83">
        <v>2</v>
      </c>
      <c r="B104" s="36">
        <v>57.77</v>
      </c>
      <c r="C104" s="36">
        <v>108211.78812532456</v>
      </c>
      <c r="D104" s="56">
        <v>6434192</v>
      </c>
      <c r="E104" s="36">
        <v>12</v>
      </c>
      <c r="F104" s="36">
        <v>1</v>
      </c>
      <c r="G104" s="36">
        <f t="shared" si="3"/>
        <v>6434192</v>
      </c>
    </row>
    <row r="105" spans="1:7" ht="12.75" x14ac:dyDescent="0.2">
      <c r="A105" s="83">
        <v>3</v>
      </c>
      <c r="B105" s="36">
        <v>74.52</v>
      </c>
      <c r="C105" s="36">
        <v>104995.92055823941</v>
      </c>
      <c r="D105" s="56">
        <v>7980782</v>
      </c>
      <c r="E105" s="36">
        <v>6</v>
      </c>
      <c r="F105" s="36">
        <v>1</v>
      </c>
      <c r="G105" s="36">
        <f t="shared" si="3"/>
        <v>7980782</v>
      </c>
    </row>
    <row r="106" spans="1:7" ht="12.75" x14ac:dyDescent="0.2">
      <c r="A106" s="181">
        <v>3</v>
      </c>
      <c r="B106" s="36">
        <v>74.52</v>
      </c>
      <c r="C106" s="36">
        <v>104995.92055823941</v>
      </c>
      <c r="D106" s="56">
        <v>7980782</v>
      </c>
      <c r="E106" s="36">
        <v>8</v>
      </c>
      <c r="F106" s="36">
        <v>1</v>
      </c>
      <c r="G106" s="36">
        <f t="shared" si="3"/>
        <v>7980782</v>
      </c>
    </row>
    <row r="107" spans="1:7" ht="12.75" x14ac:dyDescent="0.2">
      <c r="A107" s="83">
        <v>3</v>
      </c>
      <c r="B107" s="36">
        <v>76.86</v>
      </c>
      <c r="C107" s="36">
        <v>108243.20843091335</v>
      </c>
      <c r="D107" s="56">
        <v>8485964</v>
      </c>
      <c r="E107" s="36">
        <v>16</v>
      </c>
      <c r="F107" s="36">
        <v>1</v>
      </c>
      <c r="G107" s="36">
        <f t="shared" si="3"/>
        <v>8485964</v>
      </c>
    </row>
    <row r="108" spans="1:7" ht="12.75" x14ac:dyDescent="0.2">
      <c r="A108" s="83">
        <v>3</v>
      </c>
      <c r="B108" s="36">
        <v>76.86</v>
      </c>
      <c r="C108" s="36">
        <v>104995.91465001302</v>
      </c>
      <c r="D108" s="56">
        <v>8231386</v>
      </c>
      <c r="E108" s="36">
        <v>14</v>
      </c>
      <c r="F108" s="36">
        <v>1</v>
      </c>
      <c r="G108" s="36">
        <f t="shared" si="3"/>
        <v>8231386</v>
      </c>
    </row>
    <row r="109" spans="1:7" ht="12.75" x14ac:dyDescent="0.2">
      <c r="A109" s="83">
        <v>3</v>
      </c>
      <c r="B109" s="36">
        <v>76.86</v>
      </c>
      <c r="C109" s="36">
        <v>104995.91465001302</v>
      </c>
      <c r="D109" s="56">
        <v>8231386</v>
      </c>
      <c r="E109" s="36">
        <v>10</v>
      </c>
      <c r="F109" s="36">
        <v>1</v>
      </c>
      <c r="G109" s="36">
        <f t="shared" si="3"/>
        <v>8231386</v>
      </c>
    </row>
    <row r="110" spans="1:7" ht="12.75" x14ac:dyDescent="0.2">
      <c r="A110" s="83">
        <v>3</v>
      </c>
      <c r="B110" s="36">
        <v>76.86</v>
      </c>
      <c r="C110" s="36">
        <v>104995.91465001302</v>
      </c>
      <c r="D110" s="56">
        <v>8231386</v>
      </c>
      <c r="E110" s="36">
        <v>12</v>
      </c>
      <c r="F110" s="36">
        <v>1</v>
      </c>
      <c r="G110" s="36">
        <f t="shared" si="3"/>
        <v>8231386</v>
      </c>
    </row>
    <row r="111" spans="1:7" ht="12.75" x14ac:dyDescent="0.2">
      <c r="A111" s="84"/>
      <c r="B111" s="45"/>
      <c r="C111" s="45"/>
      <c r="D111" s="45"/>
      <c r="E111" s="45"/>
    </row>
    <row r="112" spans="1:7" ht="12.75" x14ac:dyDescent="0.2">
      <c r="A112" s="45"/>
      <c r="B112" s="45"/>
      <c r="C112" s="45"/>
      <c r="D112" s="45"/>
      <c r="E112" s="45"/>
    </row>
    <row r="113" spans="1:5" ht="12.75" x14ac:dyDescent="0.2">
      <c r="A113" s="45"/>
      <c r="B113" s="45"/>
      <c r="C113" s="45"/>
      <c r="D113" s="45"/>
      <c r="E113" s="45"/>
    </row>
    <row r="114" spans="1:5" ht="12.75" x14ac:dyDescent="0.2">
      <c r="A114" s="45"/>
      <c r="B114" s="45"/>
      <c r="C114" s="45"/>
      <c r="D114" s="45"/>
      <c r="E114" s="45"/>
    </row>
    <row r="115" spans="1:5" ht="12.75" x14ac:dyDescent="0.2">
      <c r="A115" s="45"/>
      <c r="B115" s="45"/>
      <c r="C115" s="45"/>
      <c r="D115" s="45"/>
      <c r="E115" s="45"/>
    </row>
    <row r="116" spans="1:5" ht="12.75" x14ac:dyDescent="0.2">
      <c r="A116" s="45"/>
      <c r="B116" s="45"/>
      <c r="C116" s="45"/>
      <c r="D116" s="45"/>
      <c r="E116" s="45"/>
    </row>
    <row r="117" spans="1:5" ht="12.75" x14ac:dyDescent="0.2">
      <c r="A117" s="45"/>
      <c r="B117" s="45"/>
      <c r="C117" s="45"/>
      <c r="D117" s="45"/>
      <c r="E117" s="45"/>
    </row>
    <row r="118" spans="1:5" ht="12.75" x14ac:dyDescent="0.2">
      <c r="A118" s="45"/>
      <c r="B118" s="45"/>
      <c r="C118" s="45"/>
      <c r="D118" s="45"/>
      <c r="E118" s="45"/>
    </row>
    <row r="119" spans="1:5" ht="12.75" x14ac:dyDescent="0.2">
      <c r="A119" s="45"/>
      <c r="B119" s="45"/>
      <c r="C119" s="45"/>
      <c r="D119" s="45"/>
      <c r="E119" s="45"/>
    </row>
    <row r="120" spans="1:5" ht="12.75" x14ac:dyDescent="0.2">
      <c r="A120" s="45"/>
      <c r="B120" s="45"/>
      <c r="C120" s="45"/>
      <c r="D120" s="45"/>
      <c r="E120" s="45"/>
    </row>
    <row r="121" spans="1:5" ht="12.75" x14ac:dyDescent="0.2">
      <c r="A121" s="45"/>
      <c r="B121" s="45"/>
      <c r="C121" s="45"/>
      <c r="D121" s="45"/>
      <c r="E121" s="45"/>
    </row>
    <row r="122" spans="1:5" ht="12.75" x14ac:dyDescent="0.2">
      <c r="A122" s="45"/>
      <c r="B122" s="45"/>
      <c r="C122" s="45"/>
      <c r="D122" s="45"/>
      <c r="E122" s="45"/>
    </row>
    <row r="123" spans="1:5" ht="12.75" x14ac:dyDescent="0.2">
      <c r="A123" s="45"/>
      <c r="B123" s="45"/>
      <c r="C123" s="45"/>
      <c r="D123" s="45"/>
      <c r="E123" s="45"/>
    </row>
    <row r="124" spans="1:5" ht="12.75" x14ac:dyDescent="0.2">
      <c r="A124" s="45"/>
      <c r="B124" s="45"/>
      <c r="C124" s="45"/>
      <c r="D124" s="45"/>
      <c r="E124" s="45"/>
    </row>
    <row r="125" spans="1:5" ht="12.75" x14ac:dyDescent="0.2">
      <c r="A125" s="45"/>
      <c r="B125" s="45"/>
      <c r="C125" s="45"/>
      <c r="D125" s="45"/>
      <c r="E125" s="45"/>
    </row>
    <row r="126" spans="1:5" ht="12.75" x14ac:dyDescent="0.2">
      <c r="A126" s="45"/>
      <c r="B126" s="45"/>
      <c r="C126" s="45"/>
      <c r="D126" s="45"/>
      <c r="E126" s="45"/>
    </row>
    <row r="127" spans="1:5" ht="12.75" x14ac:dyDescent="0.2">
      <c r="A127" s="45"/>
      <c r="B127" s="45"/>
      <c r="C127" s="45"/>
      <c r="D127" s="45"/>
      <c r="E127" s="45"/>
    </row>
    <row r="128" spans="1:5" ht="12.75" x14ac:dyDescent="0.2">
      <c r="A128" s="45"/>
      <c r="B128" s="45"/>
      <c r="C128" s="45"/>
      <c r="D128" s="45"/>
      <c r="E128" s="45"/>
    </row>
    <row r="129" spans="1:5" ht="12.75" x14ac:dyDescent="0.2">
      <c r="A129" s="45"/>
      <c r="B129" s="45"/>
      <c r="C129" s="45"/>
      <c r="D129" s="45"/>
      <c r="E129" s="45"/>
    </row>
    <row r="130" spans="1:5" ht="12.75" x14ac:dyDescent="0.2">
      <c r="A130" s="45"/>
      <c r="B130" s="45"/>
      <c r="C130" s="45"/>
      <c r="D130" s="45"/>
      <c r="E130" s="45"/>
    </row>
    <row r="131" spans="1:5" ht="12.75" x14ac:dyDescent="0.2">
      <c r="A131" s="45"/>
      <c r="B131" s="45"/>
      <c r="C131" s="45"/>
      <c r="D131" s="45"/>
      <c r="E131" s="45"/>
    </row>
    <row r="132" spans="1:5" ht="12.75" x14ac:dyDescent="0.2">
      <c r="A132" s="45"/>
      <c r="B132" s="45"/>
      <c r="C132" s="45"/>
      <c r="D132" s="45"/>
      <c r="E132" s="45"/>
    </row>
    <row r="133" spans="1:5" ht="12.75" x14ac:dyDescent="0.2">
      <c r="A133" s="45"/>
      <c r="B133" s="45"/>
      <c r="C133" s="45"/>
      <c r="D133" s="45"/>
      <c r="E133" s="45"/>
    </row>
    <row r="134" spans="1:5" ht="12.75" x14ac:dyDescent="0.2">
      <c r="A134" s="45"/>
      <c r="B134" s="45"/>
      <c r="C134" s="45"/>
      <c r="D134" s="45"/>
      <c r="E134" s="45"/>
    </row>
    <row r="135" spans="1:5" ht="12.75" x14ac:dyDescent="0.2">
      <c r="A135" s="45"/>
      <c r="B135" s="45"/>
      <c r="C135" s="45"/>
      <c r="D135" s="45"/>
      <c r="E135" s="45"/>
    </row>
    <row r="136" spans="1:5" ht="12.75" x14ac:dyDescent="0.2">
      <c r="A136" s="45"/>
      <c r="B136" s="45"/>
      <c r="C136" s="45"/>
      <c r="D136" s="45"/>
      <c r="E136" s="45"/>
    </row>
    <row r="137" spans="1:5" ht="12.75" x14ac:dyDescent="0.2">
      <c r="A137" s="45"/>
      <c r="B137" s="45"/>
      <c r="C137" s="45"/>
      <c r="D137" s="45"/>
      <c r="E137" s="45"/>
    </row>
    <row r="138" spans="1:5" ht="12.75" x14ac:dyDescent="0.2">
      <c r="A138" s="45"/>
      <c r="B138" s="45"/>
      <c r="C138" s="45"/>
      <c r="D138" s="45"/>
      <c r="E138" s="45"/>
    </row>
    <row r="139" spans="1:5" ht="12.75" x14ac:dyDescent="0.2">
      <c r="A139" s="45"/>
      <c r="B139" s="45"/>
      <c r="C139" s="45"/>
      <c r="D139" s="45"/>
      <c r="E139" s="45"/>
    </row>
    <row r="140" spans="1:5" ht="12.75" x14ac:dyDescent="0.2">
      <c r="A140" s="45"/>
      <c r="B140" s="45"/>
      <c r="C140" s="45"/>
      <c r="D140" s="45"/>
      <c r="E140" s="45"/>
    </row>
    <row r="141" spans="1:5" ht="12.75" x14ac:dyDescent="0.2">
      <c r="A141" s="45"/>
      <c r="B141" s="45"/>
      <c r="C141" s="45"/>
      <c r="D141" s="45"/>
      <c r="E141" s="45"/>
    </row>
    <row r="142" spans="1:5" ht="12.75" x14ac:dyDescent="0.2">
      <c r="A142" s="45"/>
      <c r="B142" s="45"/>
      <c r="C142" s="45"/>
      <c r="D142" s="45"/>
      <c r="E142" s="45"/>
    </row>
    <row r="143" spans="1:5" ht="12.75" x14ac:dyDescent="0.2">
      <c r="A143" s="45"/>
      <c r="B143" s="45"/>
      <c r="C143" s="45"/>
      <c r="D143" s="45"/>
      <c r="E143" s="45"/>
    </row>
    <row r="144" spans="1:5" ht="12.75" x14ac:dyDescent="0.2">
      <c r="A144" s="45"/>
      <c r="B144" s="45"/>
      <c r="C144" s="45"/>
      <c r="D144" s="45"/>
      <c r="E144" s="45"/>
    </row>
    <row r="145" spans="1:5" ht="12.75" x14ac:dyDescent="0.2">
      <c r="A145" s="45"/>
      <c r="B145" s="45"/>
      <c r="C145" s="45"/>
      <c r="D145" s="45"/>
      <c r="E145" s="45"/>
    </row>
    <row r="146" spans="1:5" ht="12.75" x14ac:dyDescent="0.2">
      <c r="A146" s="45"/>
      <c r="B146" s="45"/>
      <c r="C146" s="45"/>
      <c r="D146" s="45"/>
      <c r="E146" s="45"/>
    </row>
    <row r="147" spans="1:5" ht="12.75" x14ac:dyDescent="0.2">
      <c r="A147" s="45"/>
      <c r="B147" s="45"/>
      <c r="C147" s="45"/>
      <c r="D147" s="45"/>
      <c r="E147" s="45"/>
    </row>
    <row r="148" spans="1:5" ht="12.75" x14ac:dyDescent="0.2">
      <c r="A148" s="45"/>
      <c r="B148" s="45"/>
      <c r="C148" s="45"/>
      <c r="D148" s="45"/>
      <c r="E148" s="45"/>
    </row>
    <row r="149" spans="1:5" ht="12.75" x14ac:dyDescent="0.2">
      <c r="A149" s="45"/>
      <c r="B149" s="45"/>
      <c r="C149" s="45"/>
      <c r="D149" s="45"/>
      <c r="E149" s="45"/>
    </row>
    <row r="150" spans="1:5" ht="12.75" x14ac:dyDescent="0.2">
      <c r="A150" s="45"/>
      <c r="B150" s="45"/>
      <c r="C150" s="45"/>
      <c r="D150" s="45"/>
      <c r="E150" s="45"/>
    </row>
    <row r="151" spans="1:5" ht="12.75" x14ac:dyDescent="0.2">
      <c r="A151" s="45"/>
      <c r="B151" s="45"/>
      <c r="C151" s="45"/>
      <c r="D151" s="45"/>
      <c r="E151" s="45"/>
    </row>
    <row r="152" spans="1:5" ht="12.75" x14ac:dyDescent="0.2">
      <c r="A152" s="45"/>
      <c r="B152" s="45"/>
      <c r="C152" s="45"/>
      <c r="D152" s="45"/>
      <c r="E152" s="45"/>
    </row>
    <row r="153" spans="1:5" ht="12.75" x14ac:dyDescent="0.2">
      <c r="A153" s="45"/>
      <c r="B153" s="45"/>
      <c r="C153" s="45"/>
      <c r="D153" s="45"/>
      <c r="E153" s="45"/>
    </row>
    <row r="154" spans="1:5" ht="12.75" x14ac:dyDescent="0.2">
      <c r="A154" s="45"/>
      <c r="B154" s="45"/>
      <c r="C154" s="45"/>
      <c r="D154" s="45"/>
      <c r="E154" s="45"/>
    </row>
    <row r="155" spans="1:5" ht="12.75" x14ac:dyDescent="0.2">
      <c r="A155" s="45"/>
      <c r="B155" s="45"/>
      <c r="C155" s="45"/>
      <c r="D155" s="45"/>
      <c r="E155" s="45"/>
    </row>
    <row r="156" spans="1:5" ht="12.75" x14ac:dyDescent="0.2">
      <c r="A156" s="45"/>
      <c r="B156" s="45"/>
      <c r="C156" s="45"/>
      <c r="D156" s="45"/>
      <c r="E156" s="45"/>
    </row>
    <row r="157" spans="1:5" ht="12.75" x14ac:dyDescent="0.2">
      <c r="A157" s="45"/>
      <c r="B157" s="45"/>
      <c r="C157" s="45"/>
      <c r="D157" s="45"/>
      <c r="E157" s="45"/>
    </row>
    <row r="158" spans="1:5" ht="12.75" x14ac:dyDescent="0.2">
      <c r="A158" s="45"/>
      <c r="B158" s="45"/>
      <c r="C158" s="45"/>
      <c r="D158" s="45"/>
      <c r="E158" s="45"/>
    </row>
    <row r="159" spans="1:5" ht="12.75" x14ac:dyDescent="0.2">
      <c r="A159" s="45"/>
      <c r="B159" s="45"/>
      <c r="C159" s="45"/>
      <c r="D159" s="45"/>
      <c r="E159" s="45"/>
    </row>
    <row r="160" spans="1:5" ht="12.75" x14ac:dyDescent="0.2">
      <c r="A160" s="45"/>
      <c r="B160" s="45"/>
      <c r="C160" s="45"/>
      <c r="D160" s="45"/>
      <c r="E160" s="45"/>
    </row>
    <row r="161" spans="1:5" ht="12.75" x14ac:dyDescent="0.2">
      <c r="A161" s="45"/>
      <c r="B161" s="45"/>
      <c r="C161" s="45"/>
      <c r="D161" s="45"/>
      <c r="E161" s="45"/>
    </row>
    <row r="162" spans="1:5" ht="12.75" x14ac:dyDescent="0.2">
      <c r="A162" s="45"/>
      <c r="B162" s="45"/>
      <c r="C162" s="45"/>
      <c r="D162" s="45"/>
      <c r="E162" s="45"/>
    </row>
    <row r="163" spans="1:5" ht="12.75" x14ac:dyDescent="0.2">
      <c r="A163" s="45"/>
      <c r="B163" s="45"/>
      <c r="C163" s="45"/>
      <c r="D163" s="45"/>
      <c r="E163" s="45"/>
    </row>
    <row r="164" spans="1:5" ht="12.75" x14ac:dyDescent="0.2">
      <c r="A164" s="45"/>
      <c r="B164" s="45"/>
      <c r="C164" s="45"/>
      <c r="D164" s="45"/>
      <c r="E164" s="45"/>
    </row>
    <row r="165" spans="1:5" ht="12.75" x14ac:dyDescent="0.2">
      <c r="A165" s="45"/>
      <c r="B165" s="45"/>
      <c r="C165" s="45"/>
      <c r="D165" s="45"/>
      <c r="E165" s="45"/>
    </row>
    <row r="166" spans="1:5" ht="12.75" x14ac:dyDescent="0.2">
      <c r="A166" s="45"/>
      <c r="B166" s="45"/>
      <c r="C166" s="45"/>
      <c r="D166" s="45"/>
      <c r="E166" s="45"/>
    </row>
    <row r="167" spans="1:5" ht="12.75" x14ac:dyDescent="0.2">
      <c r="A167" s="45"/>
      <c r="B167" s="45"/>
      <c r="C167" s="45"/>
      <c r="D167" s="45"/>
      <c r="E167" s="45"/>
    </row>
    <row r="168" spans="1:5" ht="12.75" x14ac:dyDescent="0.2">
      <c r="A168" s="45"/>
      <c r="B168" s="45"/>
      <c r="C168" s="45"/>
      <c r="D168" s="45"/>
      <c r="E168" s="45"/>
    </row>
    <row r="169" spans="1:5" ht="12.75" x14ac:dyDescent="0.2">
      <c r="A169" s="45"/>
      <c r="B169" s="45"/>
      <c r="C169" s="45"/>
      <c r="D169" s="45"/>
      <c r="E169" s="45"/>
    </row>
    <row r="170" spans="1:5" ht="12.75" x14ac:dyDescent="0.2">
      <c r="A170" s="45"/>
      <c r="B170" s="45"/>
      <c r="C170" s="45"/>
      <c r="D170" s="45"/>
      <c r="E170" s="45"/>
    </row>
    <row r="171" spans="1:5" ht="12.75" x14ac:dyDescent="0.2">
      <c r="A171" s="45"/>
      <c r="B171" s="45"/>
      <c r="C171" s="45"/>
      <c r="D171" s="45"/>
      <c r="E171" s="45"/>
    </row>
    <row r="172" spans="1:5" ht="12.75" x14ac:dyDescent="0.2">
      <c r="A172" s="45"/>
      <c r="B172" s="45"/>
      <c r="C172" s="45"/>
      <c r="D172" s="45"/>
      <c r="E172" s="45"/>
    </row>
    <row r="173" spans="1:5" ht="12.75" x14ac:dyDescent="0.2">
      <c r="A173" s="45"/>
      <c r="B173" s="45"/>
      <c r="C173" s="45"/>
      <c r="D173" s="45"/>
      <c r="E173" s="45"/>
    </row>
    <row r="174" spans="1:5" ht="12.75" x14ac:dyDescent="0.2">
      <c r="A174" s="45"/>
      <c r="B174" s="45"/>
      <c r="C174" s="45"/>
      <c r="D174" s="45"/>
      <c r="E174" s="45"/>
    </row>
    <row r="175" spans="1:5" ht="12.75" x14ac:dyDescent="0.2">
      <c r="A175" s="45"/>
      <c r="B175" s="45"/>
      <c r="C175" s="45"/>
      <c r="D175" s="45"/>
      <c r="E175" s="45"/>
    </row>
    <row r="176" spans="1:5" ht="12.75" x14ac:dyDescent="0.2">
      <c r="A176" s="45"/>
      <c r="B176" s="45"/>
      <c r="C176" s="45"/>
      <c r="D176" s="45"/>
      <c r="E176" s="45"/>
    </row>
    <row r="177" spans="1:5" ht="12.75" x14ac:dyDescent="0.2">
      <c r="A177" s="45"/>
      <c r="B177" s="45"/>
      <c r="C177" s="45"/>
      <c r="D177" s="45"/>
      <c r="E177" s="45"/>
    </row>
    <row r="178" spans="1:5" ht="12.75" x14ac:dyDescent="0.2">
      <c r="A178" s="45"/>
      <c r="B178" s="45"/>
      <c r="C178" s="45"/>
      <c r="D178" s="45"/>
      <c r="E178" s="45"/>
    </row>
    <row r="179" spans="1:5" ht="12.75" x14ac:dyDescent="0.2">
      <c r="A179" s="45"/>
      <c r="B179" s="45"/>
      <c r="C179" s="45"/>
      <c r="D179" s="45"/>
      <c r="E179" s="45"/>
    </row>
    <row r="180" spans="1:5" ht="12.75" x14ac:dyDescent="0.2">
      <c r="A180" s="45"/>
      <c r="B180" s="45"/>
      <c r="C180" s="45"/>
      <c r="D180" s="45"/>
      <c r="E180" s="45"/>
    </row>
    <row r="181" spans="1:5" ht="12.75" x14ac:dyDescent="0.2">
      <c r="A181" s="45"/>
      <c r="B181" s="45"/>
      <c r="C181" s="45"/>
      <c r="D181" s="45"/>
      <c r="E181" s="45"/>
    </row>
    <row r="182" spans="1:5" ht="12.75" x14ac:dyDescent="0.2">
      <c r="A182" s="45"/>
      <c r="B182" s="45"/>
      <c r="C182" s="45"/>
      <c r="D182" s="45"/>
      <c r="E182" s="45"/>
    </row>
    <row r="183" spans="1:5" ht="12.75" x14ac:dyDescent="0.2">
      <c r="A183" s="45"/>
      <c r="B183" s="45"/>
      <c r="C183" s="45"/>
      <c r="D183" s="45"/>
      <c r="E183" s="45"/>
    </row>
    <row r="184" spans="1:5" ht="12.75" x14ac:dyDescent="0.2">
      <c r="A184" s="45"/>
      <c r="B184" s="45"/>
      <c r="C184" s="45"/>
      <c r="D184" s="45"/>
      <c r="E184" s="45"/>
    </row>
    <row r="185" spans="1:5" ht="12.75" x14ac:dyDescent="0.2">
      <c r="A185" s="45"/>
      <c r="B185" s="45"/>
      <c r="C185" s="45"/>
      <c r="D185" s="45"/>
      <c r="E185" s="45"/>
    </row>
    <row r="186" spans="1:5" ht="12.75" x14ac:dyDescent="0.2">
      <c r="A186" s="45"/>
      <c r="B186" s="45"/>
      <c r="C186" s="45"/>
      <c r="D186" s="45"/>
      <c r="E186" s="45"/>
    </row>
    <row r="187" spans="1:5" ht="12.75" x14ac:dyDescent="0.2">
      <c r="A187" s="45"/>
      <c r="B187" s="45"/>
      <c r="C187" s="45"/>
      <c r="D187" s="45"/>
      <c r="E187" s="45"/>
    </row>
    <row r="188" spans="1:5" ht="12.75" x14ac:dyDescent="0.2">
      <c r="A188" s="45"/>
      <c r="B188" s="45"/>
      <c r="C188" s="45"/>
      <c r="D188" s="45"/>
      <c r="E188" s="45"/>
    </row>
    <row r="189" spans="1:5" ht="12.75" x14ac:dyDescent="0.2">
      <c r="A189" s="45"/>
      <c r="B189" s="45"/>
      <c r="C189" s="45"/>
      <c r="D189" s="45"/>
      <c r="E189" s="45"/>
    </row>
    <row r="190" spans="1:5" ht="12.75" x14ac:dyDescent="0.2">
      <c r="A190" s="45"/>
      <c r="B190" s="45"/>
      <c r="C190" s="45"/>
      <c r="D190" s="45"/>
      <c r="E190" s="45"/>
    </row>
    <row r="191" spans="1:5" ht="12.75" x14ac:dyDescent="0.2">
      <c r="A191" s="45"/>
      <c r="B191" s="45"/>
      <c r="C191" s="45"/>
      <c r="D191" s="45"/>
      <c r="E191" s="45"/>
    </row>
    <row r="192" spans="1:5" ht="12.75" x14ac:dyDescent="0.2">
      <c r="A192" s="45"/>
      <c r="B192" s="45"/>
      <c r="C192" s="45"/>
      <c r="D192" s="45"/>
      <c r="E192" s="45"/>
    </row>
    <row r="193" spans="1:5" ht="12.75" x14ac:dyDescent="0.2">
      <c r="A193" s="45"/>
      <c r="B193" s="45"/>
      <c r="C193" s="45"/>
      <c r="D193" s="45"/>
      <c r="E193" s="45"/>
    </row>
    <row r="194" spans="1:5" ht="12.75" x14ac:dyDescent="0.2">
      <c r="A194" s="45"/>
      <c r="B194" s="45"/>
      <c r="C194" s="45"/>
      <c r="D194" s="45"/>
      <c r="E194" s="45"/>
    </row>
    <row r="195" spans="1:5" ht="12.75" x14ac:dyDescent="0.2">
      <c r="A195" s="45"/>
      <c r="B195" s="45"/>
      <c r="C195" s="45"/>
      <c r="D195" s="45"/>
      <c r="E195" s="45"/>
    </row>
    <row r="196" spans="1:5" ht="12.75" x14ac:dyDescent="0.2">
      <c r="A196" s="45"/>
      <c r="B196" s="45"/>
      <c r="C196" s="45"/>
      <c r="D196" s="45"/>
      <c r="E196" s="45"/>
    </row>
    <row r="197" spans="1:5" ht="12.75" x14ac:dyDescent="0.2">
      <c r="A197" s="45"/>
      <c r="B197" s="45"/>
      <c r="C197" s="45"/>
      <c r="D197" s="45"/>
      <c r="E197" s="45"/>
    </row>
    <row r="198" spans="1:5" ht="12.75" x14ac:dyDescent="0.2">
      <c r="A198" s="45"/>
      <c r="B198" s="45"/>
      <c r="C198" s="45"/>
      <c r="D198" s="45"/>
      <c r="E198" s="45"/>
    </row>
    <row r="199" spans="1:5" ht="12.75" x14ac:dyDescent="0.2">
      <c r="A199" s="45"/>
      <c r="B199" s="45"/>
      <c r="C199" s="45"/>
      <c r="D199" s="45"/>
      <c r="E199" s="45"/>
    </row>
    <row r="200" spans="1:5" ht="12.75" x14ac:dyDescent="0.2">
      <c r="A200" s="45"/>
      <c r="B200" s="45"/>
      <c r="C200" s="45"/>
      <c r="D200" s="45"/>
      <c r="E200" s="45"/>
    </row>
    <row r="201" spans="1:5" ht="12.75" x14ac:dyDescent="0.2">
      <c r="A201" s="45"/>
      <c r="B201" s="45"/>
      <c r="C201" s="45"/>
      <c r="D201" s="45"/>
      <c r="E201" s="45"/>
    </row>
    <row r="202" spans="1:5" ht="12.75" x14ac:dyDescent="0.2">
      <c r="A202" s="45"/>
      <c r="B202" s="45"/>
      <c r="C202" s="45"/>
      <c r="D202" s="45"/>
      <c r="E202" s="45"/>
    </row>
    <row r="203" spans="1:5" ht="12.75" x14ac:dyDescent="0.2">
      <c r="A203" s="45"/>
      <c r="B203" s="45"/>
      <c r="C203" s="45"/>
      <c r="D203" s="45"/>
      <c r="E203" s="45"/>
    </row>
    <row r="204" spans="1:5" ht="12.75" x14ac:dyDescent="0.2">
      <c r="A204" s="45"/>
      <c r="B204" s="45"/>
      <c r="C204" s="45"/>
      <c r="D204" s="45"/>
      <c r="E204" s="45"/>
    </row>
    <row r="205" spans="1:5" ht="12.75" x14ac:dyDescent="0.2">
      <c r="A205" s="45"/>
      <c r="B205" s="45"/>
      <c r="C205" s="45"/>
      <c r="D205" s="45"/>
      <c r="E205" s="45"/>
    </row>
    <row r="206" spans="1:5" ht="12.75" x14ac:dyDescent="0.2">
      <c r="A206" s="45"/>
      <c r="B206" s="45"/>
      <c r="C206" s="45"/>
      <c r="D206" s="45"/>
      <c r="E206" s="45"/>
    </row>
    <row r="207" spans="1:5" ht="12.75" x14ac:dyDescent="0.2">
      <c r="A207" s="45"/>
      <c r="B207" s="45"/>
      <c r="C207" s="45"/>
      <c r="D207" s="45"/>
      <c r="E207" s="45"/>
    </row>
    <row r="208" spans="1:5" ht="12.75" x14ac:dyDescent="0.2">
      <c r="A208" s="45"/>
      <c r="B208" s="45"/>
      <c r="C208" s="45"/>
      <c r="D208" s="45"/>
      <c r="E208" s="45"/>
    </row>
    <row r="209" spans="1:5" ht="12.75" x14ac:dyDescent="0.2">
      <c r="A209" s="45"/>
      <c r="B209" s="45"/>
      <c r="C209" s="45"/>
      <c r="D209" s="45"/>
      <c r="E209" s="45"/>
    </row>
    <row r="210" spans="1:5" ht="12.75" x14ac:dyDescent="0.2">
      <c r="A210" s="45"/>
      <c r="B210" s="45"/>
      <c r="C210" s="45"/>
      <c r="D210" s="45"/>
      <c r="E210" s="45"/>
    </row>
    <row r="211" spans="1:5" ht="12.75" x14ac:dyDescent="0.2">
      <c r="A211" s="45"/>
      <c r="B211" s="45"/>
      <c r="C211" s="45"/>
      <c r="D211" s="45"/>
      <c r="E211" s="45"/>
    </row>
    <row r="212" spans="1:5" ht="12.75" x14ac:dyDescent="0.2">
      <c r="A212" s="45"/>
      <c r="B212" s="45"/>
      <c r="C212" s="45"/>
      <c r="D212" s="45"/>
      <c r="E212" s="45"/>
    </row>
    <row r="213" spans="1:5" ht="12.75" x14ac:dyDescent="0.2">
      <c r="A213" s="45"/>
      <c r="B213" s="45"/>
      <c r="C213" s="45"/>
      <c r="D213" s="45"/>
      <c r="E213" s="45"/>
    </row>
    <row r="214" spans="1:5" ht="12.75" x14ac:dyDescent="0.2">
      <c r="A214" s="45"/>
      <c r="B214" s="45"/>
      <c r="C214" s="45"/>
      <c r="D214" s="45"/>
      <c r="E214" s="45"/>
    </row>
    <row r="215" spans="1:5" ht="12.75" x14ac:dyDescent="0.2">
      <c r="A215" s="45"/>
      <c r="B215" s="45"/>
      <c r="C215" s="45"/>
      <c r="D215" s="45"/>
      <c r="E215" s="45"/>
    </row>
    <row r="216" spans="1:5" ht="12.75" x14ac:dyDescent="0.2">
      <c r="A216" s="45"/>
      <c r="B216" s="45"/>
      <c r="C216" s="45"/>
      <c r="D216" s="45"/>
      <c r="E216" s="45"/>
    </row>
    <row r="217" spans="1:5" ht="12.75" x14ac:dyDescent="0.2">
      <c r="A217" s="45"/>
      <c r="B217" s="45"/>
      <c r="C217" s="45"/>
      <c r="D217" s="45"/>
      <c r="E217" s="45"/>
    </row>
    <row r="218" spans="1:5" ht="12.75" x14ac:dyDescent="0.2">
      <c r="A218" s="45"/>
      <c r="B218" s="45"/>
      <c r="C218" s="45"/>
      <c r="D218" s="45"/>
      <c r="E218" s="45"/>
    </row>
    <row r="219" spans="1:5" ht="12.75" x14ac:dyDescent="0.2">
      <c r="A219" s="45"/>
      <c r="B219" s="45"/>
      <c r="C219" s="45"/>
      <c r="D219" s="45"/>
      <c r="E219" s="45"/>
    </row>
    <row r="220" spans="1:5" ht="12.75" x14ac:dyDescent="0.2">
      <c r="A220" s="45"/>
      <c r="B220" s="45"/>
      <c r="C220" s="45"/>
      <c r="D220" s="45"/>
      <c r="E220" s="45"/>
    </row>
    <row r="221" spans="1:5" ht="12.75" x14ac:dyDescent="0.2">
      <c r="A221" s="45"/>
      <c r="B221" s="45"/>
      <c r="C221" s="45"/>
      <c r="D221" s="45"/>
      <c r="E221" s="45"/>
    </row>
    <row r="222" spans="1:5" ht="12.75" x14ac:dyDescent="0.2">
      <c r="A222" s="45"/>
      <c r="B222" s="45"/>
      <c r="C222" s="45"/>
      <c r="D222" s="45"/>
      <c r="E222" s="45"/>
    </row>
    <row r="223" spans="1:5" ht="12.75" x14ac:dyDescent="0.2">
      <c r="A223" s="45"/>
      <c r="B223" s="45"/>
      <c r="C223" s="45"/>
      <c r="D223" s="45"/>
      <c r="E223" s="45"/>
    </row>
    <row r="224" spans="1:5" ht="12.75" x14ac:dyDescent="0.2">
      <c r="A224" s="45"/>
      <c r="B224" s="45"/>
      <c r="C224" s="45"/>
      <c r="D224" s="45"/>
      <c r="E224" s="45"/>
    </row>
    <row r="225" spans="1:5" ht="12.75" x14ac:dyDescent="0.2">
      <c r="A225" s="45"/>
      <c r="B225" s="45"/>
      <c r="C225" s="45"/>
      <c r="D225" s="45"/>
      <c r="E225" s="45"/>
    </row>
    <row r="226" spans="1:5" ht="12.75" x14ac:dyDescent="0.2">
      <c r="A226" s="45"/>
      <c r="B226" s="45"/>
      <c r="C226" s="45"/>
      <c r="D226" s="45"/>
      <c r="E226" s="45"/>
    </row>
    <row r="227" spans="1:5" ht="12.75" x14ac:dyDescent="0.2">
      <c r="A227" s="45"/>
      <c r="B227" s="45"/>
      <c r="C227" s="45"/>
      <c r="D227" s="45"/>
      <c r="E227" s="45"/>
    </row>
    <row r="228" spans="1:5" ht="12.75" x14ac:dyDescent="0.2">
      <c r="A228" s="45"/>
      <c r="B228" s="45"/>
      <c r="C228" s="45"/>
      <c r="D228" s="45"/>
      <c r="E228" s="45"/>
    </row>
    <row r="229" spans="1:5" ht="12.75" x14ac:dyDescent="0.2">
      <c r="A229" s="45"/>
      <c r="B229" s="45"/>
      <c r="C229" s="45"/>
      <c r="D229" s="45"/>
      <c r="E229" s="45"/>
    </row>
    <row r="230" spans="1:5" ht="12.75" x14ac:dyDescent="0.2">
      <c r="A230" s="45"/>
      <c r="B230" s="45"/>
      <c r="C230" s="45"/>
      <c r="D230" s="45"/>
      <c r="E230" s="45"/>
    </row>
    <row r="231" spans="1:5" ht="12.75" x14ac:dyDescent="0.2">
      <c r="A231" s="45"/>
      <c r="B231" s="45"/>
      <c r="C231" s="45"/>
      <c r="D231" s="45"/>
      <c r="E231" s="45"/>
    </row>
    <row r="232" spans="1:5" ht="12.75" x14ac:dyDescent="0.2">
      <c r="A232" s="45"/>
      <c r="B232" s="45"/>
      <c r="C232" s="45"/>
      <c r="D232" s="45"/>
      <c r="E232" s="45"/>
    </row>
    <row r="233" spans="1:5" ht="12.75" x14ac:dyDescent="0.2">
      <c r="A233" s="45"/>
      <c r="B233" s="45"/>
      <c r="C233" s="45"/>
      <c r="D233" s="45"/>
      <c r="E233" s="45"/>
    </row>
    <row r="234" spans="1:5" ht="12.75" x14ac:dyDescent="0.2">
      <c r="A234" s="45"/>
      <c r="B234" s="45"/>
      <c r="C234" s="45"/>
      <c r="D234" s="45"/>
      <c r="E234" s="45"/>
    </row>
    <row r="235" spans="1:5" ht="12.75" x14ac:dyDescent="0.2">
      <c r="A235" s="45"/>
      <c r="B235" s="45"/>
      <c r="C235" s="45"/>
      <c r="D235" s="45"/>
      <c r="E235" s="45"/>
    </row>
    <row r="236" spans="1:5" ht="12.75" x14ac:dyDescent="0.2">
      <c r="A236" s="45"/>
      <c r="B236" s="45"/>
      <c r="C236" s="45"/>
      <c r="D236" s="45"/>
      <c r="E236" s="45"/>
    </row>
    <row r="237" spans="1:5" ht="12.75" x14ac:dyDescent="0.2">
      <c r="A237" s="45"/>
      <c r="B237" s="45"/>
      <c r="C237" s="45"/>
      <c r="D237" s="45"/>
      <c r="E237" s="45"/>
    </row>
    <row r="238" spans="1:5" ht="12.75" x14ac:dyDescent="0.2">
      <c r="A238" s="45"/>
      <c r="B238" s="45"/>
      <c r="C238" s="45"/>
      <c r="D238" s="45"/>
      <c r="E238" s="45"/>
    </row>
    <row r="239" spans="1:5" ht="12.75" x14ac:dyDescent="0.2">
      <c r="A239" s="45"/>
      <c r="B239" s="45"/>
      <c r="C239" s="45"/>
      <c r="D239" s="45"/>
      <c r="E239" s="45"/>
    </row>
    <row r="240" spans="1:5" ht="12.75" x14ac:dyDescent="0.2">
      <c r="A240" s="45"/>
      <c r="B240" s="45"/>
      <c r="C240" s="45"/>
      <c r="D240" s="45"/>
      <c r="E240" s="45"/>
    </row>
    <row r="241" spans="1:5" ht="12.75" x14ac:dyDescent="0.2">
      <c r="A241" s="45"/>
      <c r="B241" s="45"/>
      <c r="C241" s="45"/>
      <c r="D241" s="45"/>
      <c r="E241" s="45"/>
    </row>
    <row r="242" spans="1:5" ht="12.75" x14ac:dyDescent="0.2">
      <c r="A242" s="45"/>
      <c r="B242" s="45"/>
      <c r="C242" s="45"/>
      <c r="D242" s="45"/>
      <c r="E242" s="45"/>
    </row>
    <row r="243" spans="1:5" ht="12.75" x14ac:dyDescent="0.2">
      <c r="A243" s="45"/>
      <c r="B243" s="45"/>
      <c r="C243" s="45"/>
      <c r="D243" s="45"/>
      <c r="E243" s="45"/>
    </row>
    <row r="244" spans="1:5" ht="12.75" x14ac:dyDescent="0.2">
      <c r="A244" s="45"/>
      <c r="B244" s="45"/>
      <c r="C244" s="45"/>
      <c r="D244" s="45"/>
      <c r="E244" s="45"/>
    </row>
    <row r="245" spans="1:5" ht="12.75" x14ac:dyDescent="0.2">
      <c r="A245" s="45"/>
      <c r="B245" s="45"/>
      <c r="C245" s="45"/>
      <c r="D245" s="45"/>
      <c r="E245" s="45"/>
    </row>
    <row r="246" spans="1:5" ht="12.75" x14ac:dyDescent="0.2">
      <c r="A246" s="45"/>
      <c r="B246" s="45"/>
      <c r="C246" s="45"/>
      <c r="D246" s="45"/>
      <c r="E246" s="45"/>
    </row>
    <row r="247" spans="1:5" ht="12.75" x14ac:dyDescent="0.2">
      <c r="A247" s="45"/>
      <c r="B247" s="45"/>
      <c r="C247" s="45"/>
      <c r="D247" s="45"/>
      <c r="E247" s="45"/>
    </row>
    <row r="248" spans="1:5" ht="12.75" x14ac:dyDescent="0.2">
      <c r="A248" s="45"/>
      <c r="B248" s="45"/>
      <c r="C248" s="45"/>
      <c r="D248" s="45"/>
      <c r="E248" s="45"/>
    </row>
    <row r="249" spans="1:5" ht="12.75" x14ac:dyDescent="0.2">
      <c r="A249" s="45"/>
      <c r="B249" s="45"/>
      <c r="C249" s="45"/>
      <c r="D249" s="45"/>
      <c r="E249" s="45"/>
    </row>
    <row r="250" spans="1:5" ht="12.75" x14ac:dyDescent="0.2">
      <c r="A250" s="45"/>
      <c r="B250" s="45"/>
      <c r="C250" s="45"/>
      <c r="D250" s="45"/>
      <c r="E250" s="45"/>
    </row>
    <row r="251" spans="1:5" ht="12.75" x14ac:dyDescent="0.2">
      <c r="A251" s="45"/>
      <c r="B251" s="45"/>
      <c r="C251" s="45"/>
      <c r="D251" s="45"/>
      <c r="E251" s="45"/>
    </row>
    <row r="252" spans="1:5" ht="12.75" x14ac:dyDescent="0.2">
      <c r="A252" s="45"/>
      <c r="B252" s="45"/>
      <c r="C252" s="45"/>
      <c r="D252" s="45"/>
      <c r="E252" s="45"/>
    </row>
    <row r="253" spans="1:5" ht="12.75" x14ac:dyDescent="0.2">
      <c r="A253" s="45"/>
      <c r="B253" s="45"/>
      <c r="C253" s="45"/>
      <c r="D253" s="45"/>
      <c r="E253" s="45"/>
    </row>
    <row r="254" spans="1:5" ht="12.75" x14ac:dyDescent="0.2">
      <c r="A254" s="45"/>
      <c r="B254" s="45"/>
      <c r="C254" s="45"/>
      <c r="D254" s="45"/>
      <c r="E254" s="45"/>
    </row>
    <row r="255" spans="1:5" ht="12.75" x14ac:dyDescent="0.2">
      <c r="A255" s="45"/>
      <c r="B255" s="45"/>
      <c r="C255" s="45"/>
      <c r="D255" s="45"/>
      <c r="E255" s="45"/>
    </row>
    <row r="256" spans="1:5" ht="12.75" x14ac:dyDescent="0.2">
      <c r="A256" s="45"/>
      <c r="B256" s="45"/>
      <c r="C256" s="45"/>
      <c r="D256" s="45"/>
      <c r="E256" s="45"/>
    </row>
    <row r="257" spans="1:5" ht="12.75" x14ac:dyDescent="0.2">
      <c r="A257" s="45"/>
      <c r="B257" s="45"/>
      <c r="C257" s="45"/>
      <c r="D257" s="45"/>
      <c r="E257" s="45"/>
    </row>
    <row r="258" spans="1:5" ht="12.75" x14ac:dyDescent="0.2">
      <c r="A258" s="45"/>
      <c r="B258" s="45"/>
      <c r="C258" s="45"/>
      <c r="D258" s="45"/>
      <c r="E258" s="45"/>
    </row>
    <row r="259" spans="1:5" ht="12.75" x14ac:dyDescent="0.2">
      <c r="A259" s="45"/>
      <c r="B259" s="45"/>
      <c r="C259" s="45"/>
      <c r="D259" s="45"/>
      <c r="E259" s="45"/>
    </row>
    <row r="260" spans="1:5" ht="12.75" x14ac:dyDescent="0.2">
      <c r="A260" s="45"/>
      <c r="B260" s="45"/>
      <c r="C260" s="45"/>
      <c r="D260" s="45"/>
      <c r="E260" s="45"/>
    </row>
    <row r="261" spans="1:5" ht="12.75" x14ac:dyDescent="0.2">
      <c r="A261" s="45"/>
      <c r="B261" s="45"/>
      <c r="C261" s="45"/>
      <c r="D261" s="45"/>
      <c r="E261" s="45"/>
    </row>
    <row r="262" spans="1:5" ht="12.75" x14ac:dyDescent="0.2">
      <c r="A262" s="45"/>
      <c r="B262" s="45"/>
      <c r="C262" s="45"/>
      <c r="D262" s="45"/>
      <c r="E262" s="45"/>
    </row>
    <row r="263" spans="1:5" ht="12.75" x14ac:dyDescent="0.2">
      <c r="A263" s="45"/>
      <c r="B263" s="45"/>
      <c r="C263" s="45"/>
      <c r="D263" s="45"/>
      <c r="E263" s="45"/>
    </row>
    <row r="264" spans="1:5" ht="12.75" x14ac:dyDescent="0.2">
      <c r="A264" s="45"/>
      <c r="B264" s="45"/>
      <c r="C264" s="45"/>
      <c r="D264" s="45"/>
      <c r="E264" s="45"/>
    </row>
    <row r="265" spans="1:5" ht="12.75" x14ac:dyDescent="0.2">
      <c r="A265" s="45"/>
      <c r="B265" s="45"/>
      <c r="C265" s="45"/>
      <c r="D265" s="45"/>
      <c r="E265" s="45"/>
    </row>
    <row r="266" spans="1:5" ht="12.75" x14ac:dyDescent="0.2">
      <c r="A266" s="45"/>
      <c r="B266" s="45"/>
      <c r="C266" s="45"/>
      <c r="D266" s="45"/>
      <c r="E266" s="45"/>
    </row>
    <row r="267" spans="1:5" ht="12.75" x14ac:dyDescent="0.2">
      <c r="A267" s="45"/>
      <c r="B267" s="45"/>
      <c r="C267" s="45"/>
      <c r="D267" s="45"/>
      <c r="E267" s="45"/>
    </row>
    <row r="268" spans="1:5" ht="12.75" x14ac:dyDescent="0.2">
      <c r="A268" s="45"/>
      <c r="B268" s="45"/>
      <c r="C268" s="45"/>
      <c r="D268" s="45"/>
      <c r="E268" s="45"/>
    </row>
    <row r="269" spans="1:5" ht="12.75" x14ac:dyDescent="0.2">
      <c r="A269" s="45"/>
      <c r="B269" s="45"/>
      <c r="C269" s="45"/>
      <c r="D269" s="45"/>
      <c r="E269" s="45"/>
    </row>
    <row r="270" spans="1:5" ht="12.75" x14ac:dyDescent="0.2">
      <c r="A270" s="45"/>
      <c r="B270" s="45"/>
      <c r="C270" s="45"/>
      <c r="D270" s="45"/>
      <c r="E270" s="45"/>
    </row>
    <row r="271" spans="1:5" ht="12.75" x14ac:dyDescent="0.2">
      <c r="A271" s="45"/>
      <c r="B271" s="45"/>
      <c r="C271" s="45"/>
      <c r="D271" s="45"/>
      <c r="E271" s="45"/>
    </row>
    <row r="272" spans="1:5" ht="12.75" x14ac:dyDescent="0.2">
      <c r="A272" s="45"/>
      <c r="B272" s="45"/>
      <c r="C272" s="45"/>
      <c r="D272" s="45"/>
      <c r="E272" s="45"/>
    </row>
    <row r="273" spans="1:5" ht="12.75" x14ac:dyDescent="0.2">
      <c r="A273" s="45"/>
      <c r="B273" s="45"/>
      <c r="C273" s="45"/>
      <c r="D273" s="45"/>
      <c r="E273" s="45"/>
    </row>
    <row r="274" spans="1:5" ht="12.75" x14ac:dyDescent="0.2">
      <c r="A274" s="45"/>
      <c r="B274" s="45"/>
      <c r="C274" s="45"/>
      <c r="D274" s="45"/>
      <c r="E274" s="45"/>
    </row>
    <row r="275" spans="1:5" ht="12.75" x14ac:dyDescent="0.2">
      <c r="A275" s="45"/>
      <c r="B275" s="45"/>
      <c r="C275" s="45"/>
      <c r="D275" s="45"/>
      <c r="E275" s="45"/>
    </row>
    <row r="276" spans="1:5" ht="12.75" x14ac:dyDescent="0.2">
      <c r="A276" s="45"/>
      <c r="B276" s="45"/>
      <c r="C276" s="45"/>
      <c r="D276" s="45"/>
      <c r="E276" s="45"/>
    </row>
    <row r="277" spans="1:5" ht="12.75" x14ac:dyDescent="0.2">
      <c r="A277" s="45"/>
      <c r="B277" s="45"/>
      <c r="C277" s="45"/>
      <c r="D277" s="45"/>
      <c r="E277" s="45"/>
    </row>
    <row r="278" spans="1:5" ht="12.75" x14ac:dyDescent="0.2">
      <c r="A278" s="45"/>
      <c r="B278" s="45"/>
      <c r="C278" s="45"/>
      <c r="D278" s="45"/>
      <c r="E278" s="45"/>
    </row>
    <row r="279" spans="1:5" ht="12.75" x14ac:dyDescent="0.2">
      <c r="A279" s="45"/>
      <c r="B279" s="45"/>
      <c r="C279" s="45"/>
      <c r="D279" s="45"/>
      <c r="E279" s="45"/>
    </row>
    <row r="280" spans="1:5" ht="12.75" x14ac:dyDescent="0.2">
      <c r="A280" s="45"/>
      <c r="B280" s="45"/>
      <c r="C280" s="45"/>
      <c r="D280" s="45"/>
      <c r="E280" s="45"/>
    </row>
    <row r="281" spans="1:5" ht="12.75" x14ac:dyDescent="0.2">
      <c r="A281" s="45"/>
      <c r="B281" s="45"/>
      <c r="C281" s="45"/>
      <c r="D281" s="45"/>
      <c r="E281" s="45"/>
    </row>
    <row r="282" spans="1:5" ht="12.75" x14ac:dyDescent="0.2">
      <c r="A282" s="45"/>
      <c r="B282" s="45"/>
      <c r="C282" s="45"/>
      <c r="D282" s="45"/>
      <c r="E282" s="45"/>
    </row>
    <row r="283" spans="1:5" ht="12.75" x14ac:dyDescent="0.2">
      <c r="A283" s="45"/>
      <c r="B283" s="45"/>
      <c r="C283" s="45"/>
      <c r="D283" s="45"/>
      <c r="E283" s="45"/>
    </row>
    <row r="284" spans="1:5" ht="12.75" x14ac:dyDescent="0.2">
      <c r="A284" s="45"/>
      <c r="B284" s="45"/>
      <c r="C284" s="45"/>
      <c r="D284" s="45"/>
      <c r="E284" s="45"/>
    </row>
    <row r="285" spans="1:5" ht="12.75" x14ac:dyDescent="0.2">
      <c r="A285" s="45"/>
      <c r="B285" s="45"/>
      <c r="C285" s="45"/>
      <c r="D285" s="45"/>
      <c r="E285" s="45"/>
    </row>
    <row r="286" spans="1:5" ht="12.75" x14ac:dyDescent="0.2">
      <c r="A286" s="45"/>
      <c r="B286" s="45"/>
      <c r="C286" s="45"/>
      <c r="D286" s="45"/>
      <c r="E286" s="45"/>
    </row>
    <row r="287" spans="1:5" ht="12.75" x14ac:dyDescent="0.2">
      <c r="A287" s="45"/>
      <c r="B287" s="45"/>
      <c r="C287" s="45"/>
      <c r="D287" s="45"/>
      <c r="E287" s="45"/>
    </row>
    <row r="288" spans="1:5" ht="12.75" x14ac:dyDescent="0.2">
      <c r="A288" s="45"/>
      <c r="B288" s="45"/>
      <c r="C288" s="45"/>
      <c r="D288" s="45"/>
      <c r="E288" s="45"/>
    </row>
    <row r="289" spans="1:5" ht="12.75" x14ac:dyDescent="0.2">
      <c r="A289" s="45"/>
      <c r="B289" s="45"/>
      <c r="C289" s="45"/>
      <c r="D289" s="45"/>
      <c r="E289" s="45"/>
    </row>
    <row r="290" spans="1:5" ht="12.75" x14ac:dyDescent="0.2">
      <c r="A290" s="45"/>
      <c r="B290" s="45"/>
      <c r="C290" s="45"/>
      <c r="D290" s="45"/>
      <c r="E290" s="45"/>
    </row>
    <row r="291" spans="1:5" ht="12.75" x14ac:dyDescent="0.2">
      <c r="A291" s="45"/>
      <c r="B291" s="45"/>
      <c r="C291" s="45"/>
      <c r="D291" s="45"/>
      <c r="E291" s="45"/>
    </row>
    <row r="292" spans="1:5" ht="12.75" x14ac:dyDescent="0.2">
      <c r="A292" s="45"/>
      <c r="B292" s="45"/>
      <c r="C292" s="45"/>
      <c r="D292" s="45"/>
      <c r="E292" s="45"/>
    </row>
    <row r="293" spans="1:5" ht="12.75" x14ac:dyDescent="0.2">
      <c r="A293" s="45"/>
      <c r="B293" s="45"/>
      <c r="C293" s="45"/>
      <c r="D293" s="45"/>
      <c r="E293" s="45"/>
    </row>
    <row r="294" spans="1:5" ht="12.75" x14ac:dyDescent="0.2">
      <c r="A294" s="45"/>
      <c r="B294" s="45"/>
      <c r="C294" s="45"/>
      <c r="D294" s="45"/>
      <c r="E294" s="45"/>
    </row>
    <row r="295" spans="1:5" ht="12.75" x14ac:dyDescent="0.2">
      <c r="A295" s="45"/>
      <c r="B295" s="45"/>
      <c r="C295" s="45"/>
      <c r="D295" s="45"/>
      <c r="E295" s="45"/>
    </row>
    <row r="296" spans="1:5" ht="12.75" x14ac:dyDescent="0.2">
      <c r="A296" s="45"/>
      <c r="B296" s="45"/>
      <c r="C296" s="45"/>
      <c r="D296" s="45"/>
      <c r="E296" s="45"/>
    </row>
    <row r="297" spans="1:5" ht="12.75" x14ac:dyDescent="0.2">
      <c r="A297" s="45"/>
      <c r="B297" s="45"/>
      <c r="C297" s="45"/>
      <c r="D297" s="45"/>
      <c r="E297" s="45"/>
    </row>
    <row r="298" spans="1:5" ht="12.75" x14ac:dyDescent="0.2">
      <c r="A298" s="45"/>
      <c r="B298" s="45"/>
      <c r="C298" s="45"/>
      <c r="D298" s="45"/>
      <c r="E298" s="45"/>
    </row>
    <row r="299" spans="1:5" ht="12.75" x14ac:dyDescent="0.2">
      <c r="A299" s="45"/>
      <c r="B299" s="45"/>
      <c r="C299" s="45"/>
      <c r="D299" s="45"/>
      <c r="E299" s="45"/>
    </row>
    <row r="300" spans="1:5" ht="12.75" x14ac:dyDescent="0.2">
      <c r="A300" s="45"/>
      <c r="B300" s="45"/>
      <c r="C300" s="45"/>
      <c r="D300" s="45"/>
      <c r="E300" s="45"/>
    </row>
    <row r="301" spans="1:5" ht="12.75" x14ac:dyDescent="0.2">
      <c r="A301" s="45"/>
      <c r="B301" s="45"/>
      <c r="C301" s="45"/>
      <c r="D301" s="45"/>
      <c r="E301" s="45"/>
    </row>
    <row r="302" spans="1:5" ht="12.75" x14ac:dyDescent="0.2">
      <c r="A302" s="45"/>
      <c r="B302" s="45"/>
      <c r="C302" s="45"/>
      <c r="D302" s="45"/>
      <c r="E302" s="45"/>
    </row>
    <row r="303" spans="1:5" ht="12.75" x14ac:dyDescent="0.2">
      <c r="A303" s="45"/>
      <c r="B303" s="45"/>
      <c r="C303" s="45"/>
      <c r="D303" s="45"/>
      <c r="E303" s="45"/>
    </row>
    <row r="304" spans="1:5" ht="12.75" x14ac:dyDescent="0.2">
      <c r="A304" s="45"/>
      <c r="B304" s="45"/>
      <c r="C304" s="45"/>
      <c r="D304" s="45"/>
      <c r="E304" s="45"/>
    </row>
    <row r="305" spans="1:5" ht="12.75" x14ac:dyDescent="0.2">
      <c r="A305" s="45"/>
      <c r="B305" s="45"/>
      <c r="C305" s="45"/>
      <c r="D305" s="45"/>
      <c r="E305" s="45"/>
    </row>
    <row r="306" spans="1:5" ht="12.75" x14ac:dyDescent="0.2">
      <c r="A306" s="45"/>
      <c r="B306" s="45"/>
      <c r="C306" s="45"/>
      <c r="D306" s="45"/>
      <c r="E306" s="45"/>
    </row>
    <row r="307" spans="1:5" ht="12.75" x14ac:dyDescent="0.2">
      <c r="A307" s="45"/>
      <c r="B307" s="45"/>
      <c r="C307" s="45"/>
      <c r="D307" s="45"/>
      <c r="E307" s="45"/>
    </row>
    <row r="308" spans="1:5" ht="12.75" x14ac:dyDescent="0.2">
      <c r="A308" s="45"/>
      <c r="B308" s="45"/>
      <c r="C308" s="45"/>
      <c r="D308" s="45"/>
      <c r="E308" s="45"/>
    </row>
    <row r="309" spans="1:5" ht="12.75" x14ac:dyDescent="0.2">
      <c r="A309" s="45"/>
      <c r="B309" s="45"/>
      <c r="C309" s="45"/>
      <c r="D309" s="45"/>
      <c r="E309" s="45"/>
    </row>
    <row r="310" spans="1:5" ht="12.75" x14ac:dyDescent="0.2">
      <c r="A310" s="45"/>
      <c r="B310" s="45"/>
      <c r="C310" s="45"/>
      <c r="D310" s="45"/>
      <c r="E310" s="45"/>
    </row>
    <row r="311" spans="1:5" ht="12.75" x14ac:dyDescent="0.2">
      <c r="A311" s="45"/>
      <c r="B311" s="45"/>
      <c r="C311" s="45"/>
      <c r="D311" s="45"/>
      <c r="E311" s="45"/>
    </row>
    <row r="312" spans="1:5" ht="12.75" x14ac:dyDescent="0.2">
      <c r="A312" s="45"/>
      <c r="B312" s="45"/>
      <c r="C312" s="45"/>
      <c r="D312" s="45"/>
      <c r="E312" s="45"/>
    </row>
    <row r="313" spans="1:5" ht="12.75" x14ac:dyDescent="0.2">
      <c r="A313" s="45"/>
      <c r="B313" s="45"/>
      <c r="C313" s="45"/>
      <c r="D313" s="45"/>
      <c r="E313" s="45"/>
    </row>
    <row r="314" spans="1:5" ht="12.75" x14ac:dyDescent="0.2">
      <c r="A314" s="45"/>
      <c r="B314" s="45"/>
      <c r="C314" s="45"/>
      <c r="D314" s="45"/>
      <c r="E314" s="45"/>
    </row>
    <row r="315" spans="1:5" ht="12.75" x14ac:dyDescent="0.2">
      <c r="A315" s="45"/>
      <c r="B315" s="45"/>
      <c r="C315" s="45"/>
      <c r="D315" s="45"/>
      <c r="E315" s="45"/>
    </row>
    <row r="316" spans="1:5" ht="12.75" x14ac:dyDescent="0.2">
      <c r="A316" s="45"/>
      <c r="B316" s="45"/>
      <c r="C316" s="45"/>
      <c r="D316" s="45"/>
      <c r="E316" s="45"/>
    </row>
    <row r="317" spans="1:5" ht="12.75" x14ac:dyDescent="0.2">
      <c r="A317" s="45"/>
      <c r="B317" s="45"/>
      <c r="C317" s="45"/>
      <c r="D317" s="45"/>
      <c r="E317" s="45"/>
    </row>
    <row r="318" spans="1:5" ht="12.75" x14ac:dyDescent="0.2">
      <c r="A318" s="45"/>
      <c r="B318" s="45"/>
      <c r="C318" s="45"/>
      <c r="D318" s="45"/>
      <c r="E318" s="45"/>
    </row>
    <row r="319" spans="1:5" ht="12.75" x14ac:dyDescent="0.2">
      <c r="A319" s="45"/>
      <c r="B319" s="45"/>
      <c r="C319" s="45"/>
      <c r="D319" s="45"/>
      <c r="E319" s="45"/>
    </row>
    <row r="320" spans="1:5" ht="12.75" x14ac:dyDescent="0.2">
      <c r="A320" s="45"/>
      <c r="B320" s="45"/>
      <c r="C320" s="45"/>
      <c r="D320" s="45"/>
      <c r="E320" s="45"/>
    </row>
    <row r="321" spans="1:5" ht="12.75" x14ac:dyDescent="0.2">
      <c r="A321" s="45"/>
      <c r="B321" s="45"/>
      <c r="C321" s="45"/>
      <c r="D321" s="45"/>
      <c r="E321" s="45"/>
    </row>
    <row r="322" spans="1:5" ht="12.75" x14ac:dyDescent="0.2">
      <c r="A322" s="45"/>
      <c r="B322" s="45"/>
      <c r="C322" s="45"/>
      <c r="D322" s="45"/>
      <c r="E322" s="45"/>
    </row>
    <row r="323" spans="1:5" ht="12.75" x14ac:dyDescent="0.2">
      <c r="A323" s="45"/>
      <c r="B323" s="45"/>
      <c r="C323" s="45"/>
      <c r="D323" s="45"/>
      <c r="E323" s="45"/>
    </row>
    <row r="324" spans="1:5" ht="12.75" x14ac:dyDescent="0.2">
      <c r="A324" s="45"/>
      <c r="B324" s="45"/>
      <c r="C324" s="45"/>
      <c r="D324" s="45"/>
      <c r="E324" s="45"/>
    </row>
    <row r="325" spans="1:5" ht="12.75" x14ac:dyDescent="0.2">
      <c r="A325" s="45"/>
      <c r="B325" s="45"/>
      <c r="C325" s="45"/>
      <c r="D325" s="45"/>
      <c r="E325" s="45"/>
    </row>
    <row r="326" spans="1:5" ht="12.75" x14ac:dyDescent="0.2">
      <c r="A326" s="45"/>
      <c r="B326" s="45"/>
      <c r="C326" s="45"/>
      <c r="D326" s="45"/>
      <c r="E326" s="45"/>
    </row>
    <row r="327" spans="1:5" ht="12.75" x14ac:dyDescent="0.2">
      <c r="A327" s="45"/>
      <c r="B327" s="45"/>
      <c r="C327" s="45"/>
      <c r="D327" s="45"/>
      <c r="E327" s="45"/>
    </row>
    <row r="328" spans="1:5" ht="12.75" x14ac:dyDescent="0.2">
      <c r="A328" s="45"/>
      <c r="B328" s="45"/>
      <c r="C328" s="45"/>
      <c r="D328" s="45"/>
      <c r="E328" s="45"/>
    </row>
    <row r="329" spans="1:5" ht="12.75" x14ac:dyDescent="0.2">
      <c r="A329" s="45"/>
      <c r="B329" s="45"/>
      <c r="C329" s="45"/>
      <c r="D329" s="45"/>
      <c r="E329" s="45"/>
    </row>
    <row r="330" spans="1:5" ht="12.75" x14ac:dyDescent="0.2">
      <c r="A330" s="45"/>
      <c r="B330" s="45"/>
      <c r="C330" s="45"/>
      <c r="D330" s="45"/>
      <c r="E330" s="45"/>
    </row>
    <row r="331" spans="1:5" ht="12.75" x14ac:dyDescent="0.2">
      <c r="A331" s="45"/>
      <c r="B331" s="45"/>
      <c r="C331" s="45"/>
      <c r="D331" s="45"/>
      <c r="E331" s="45"/>
    </row>
    <row r="332" spans="1:5" ht="12.75" x14ac:dyDescent="0.2">
      <c r="A332" s="45"/>
      <c r="B332" s="45"/>
      <c r="C332" s="45"/>
      <c r="D332" s="45"/>
      <c r="E332" s="45"/>
    </row>
    <row r="333" spans="1:5" ht="12.75" x14ac:dyDescent="0.2">
      <c r="A333" s="45"/>
      <c r="B333" s="45"/>
      <c r="C333" s="45"/>
      <c r="D333" s="45"/>
      <c r="E333" s="45"/>
    </row>
    <row r="334" spans="1:5" ht="12.75" x14ac:dyDescent="0.2">
      <c r="A334" s="45"/>
      <c r="B334" s="45"/>
      <c r="C334" s="45"/>
      <c r="D334" s="45"/>
      <c r="E334" s="45"/>
    </row>
    <row r="335" spans="1:5" ht="12.75" x14ac:dyDescent="0.2">
      <c r="A335" s="45"/>
      <c r="B335" s="45"/>
      <c r="C335" s="45"/>
      <c r="D335" s="45"/>
      <c r="E335" s="45"/>
    </row>
    <row r="336" spans="1:5" ht="12.75" x14ac:dyDescent="0.2">
      <c r="A336" s="45"/>
      <c r="B336" s="45"/>
      <c r="C336" s="45"/>
      <c r="D336" s="45"/>
      <c r="E336" s="45"/>
    </row>
    <row r="337" spans="1:5" ht="12.75" x14ac:dyDescent="0.2">
      <c r="A337" s="45"/>
      <c r="B337" s="45"/>
      <c r="C337" s="45"/>
      <c r="D337" s="45"/>
      <c r="E337" s="45"/>
    </row>
    <row r="338" spans="1:5" ht="12.75" x14ac:dyDescent="0.2">
      <c r="A338" s="45"/>
      <c r="B338" s="45"/>
      <c r="C338" s="45"/>
      <c r="D338" s="45"/>
      <c r="E338" s="45"/>
    </row>
    <row r="339" spans="1:5" ht="12.75" x14ac:dyDescent="0.2">
      <c r="A339" s="45"/>
      <c r="B339" s="45"/>
      <c r="C339" s="45"/>
      <c r="D339" s="45"/>
      <c r="E339" s="45"/>
    </row>
    <row r="340" spans="1:5" ht="12.75" x14ac:dyDescent="0.2">
      <c r="A340" s="45"/>
      <c r="B340" s="45"/>
      <c r="C340" s="45"/>
      <c r="D340" s="45"/>
      <c r="E340" s="45"/>
    </row>
    <row r="341" spans="1:5" ht="12.75" x14ac:dyDescent="0.2">
      <c r="A341" s="45"/>
      <c r="B341" s="45"/>
      <c r="C341" s="45"/>
      <c r="D341" s="45"/>
      <c r="E341" s="45"/>
    </row>
    <row r="342" spans="1:5" ht="12.75" x14ac:dyDescent="0.2">
      <c r="A342" s="45"/>
      <c r="B342" s="45"/>
      <c r="C342" s="45"/>
      <c r="D342" s="45"/>
      <c r="E342" s="45"/>
    </row>
    <row r="343" spans="1:5" ht="12.75" x14ac:dyDescent="0.2">
      <c r="A343" s="45"/>
      <c r="B343" s="45"/>
      <c r="C343" s="45"/>
      <c r="D343" s="45"/>
      <c r="E343" s="45"/>
    </row>
    <row r="344" spans="1:5" ht="12.75" x14ac:dyDescent="0.2">
      <c r="A344" s="45"/>
      <c r="B344" s="45"/>
      <c r="C344" s="45"/>
      <c r="D344" s="45"/>
      <c r="E344" s="45"/>
    </row>
    <row r="345" spans="1:5" ht="12.75" x14ac:dyDescent="0.2">
      <c r="A345" s="45"/>
      <c r="B345" s="45"/>
      <c r="C345" s="45"/>
      <c r="D345" s="45"/>
      <c r="E345" s="45"/>
    </row>
    <row r="346" spans="1:5" ht="12.75" x14ac:dyDescent="0.2">
      <c r="A346" s="45"/>
      <c r="B346" s="45"/>
      <c r="C346" s="45"/>
      <c r="D346" s="45"/>
      <c r="E346" s="45"/>
    </row>
    <row r="347" spans="1:5" ht="12.75" x14ac:dyDescent="0.2">
      <c r="A347" s="45"/>
      <c r="B347" s="45"/>
      <c r="C347" s="45"/>
      <c r="D347" s="45"/>
      <c r="E347" s="45"/>
    </row>
    <row r="348" spans="1:5" ht="12.75" x14ac:dyDescent="0.2">
      <c r="A348" s="45"/>
      <c r="B348" s="45"/>
      <c r="C348" s="45"/>
      <c r="D348" s="45"/>
      <c r="E348" s="45"/>
    </row>
    <row r="349" spans="1:5" ht="12.75" x14ac:dyDescent="0.2">
      <c r="A349" s="45"/>
      <c r="B349" s="45"/>
      <c r="C349" s="45"/>
      <c r="D349" s="45"/>
      <c r="E349" s="45"/>
    </row>
    <row r="350" spans="1:5" ht="12.75" x14ac:dyDescent="0.2">
      <c r="A350" s="45"/>
      <c r="B350" s="45"/>
      <c r="C350" s="45"/>
      <c r="D350" s="45"/>
      <c r="E350" s="45"/>
    </row>
    <row r="351" spans="1:5" ht="12.75" x14ac:dyDescent="0.2">
      <c r="A351" s="45"/>
      <c r="B351" s="45"/>
      <c r="C351" s="45"/>
      <c r="D351" s="45"/>
      <c r="E351" s="45"/>
    </row>
    <row r="352" spans="1:5" ht="12.75" x14ac:dyDescent="0.2">
      <c r="A352" s="45"/>
      <c r="B352" s="45"/>
      <c r="C352" s="45"/>
      <c r="D352" s="45"/>
      <c r="E352" s="45"/>
    </row>
    <row r="353" spans="1:5" ht="12.75" x14ac:dyDescent="0.2">
      <c r="A353" s="45"/>
      <c r="B353" s="45"/>
      <c r="C353" s="45"/>
      <c r="D353" s="45"/>
      <c r="E353" s="45"/>
    </row>
    <row r="354" spans="1:5" ht="12.75" x14ac:dyDescent="0.2">
      <c r="A354" s="45"/>
      <c r="B354" s="45"/>
      <c r="C354" s="45"/>
      <c r="D354" s="45"/>
      <c r="E354" s="45"/>
    </row>
    <row r="355" spans="1:5" ht="12.75" x14ac:dyDescent="0.2">
      <c r="A355" s="45"/>
      <c r="B355" s="45"/>
      <c r="C355" s="45"/>
      <c r="D355" s="45"/>
      <c r="E355" s="45"/>
    </row>
    <row r="356" spans="1:5" ht="12.75" x14ac:dyDescent="0.2">
      <c r="A356" s="45"/>
      <c r="B356" s="45"/>
      <c r="C356" s="45"/>
      <c r="D356" s="45"/>
      <c r="E356" s="45"/>
    </row>
    <row r="357" spans="1:5" ht="12.75" x14ac:dyDescent="0.2">
      <c r="A357" s="45"/>
      <c r="B357" s="45"/>
      <c r="C357" s="45"/>
      <c r="D357" s="45"/>
      <c r="E357" s="45"/>
    </row>
    <row r="358" spans="1:5" ht="12.75" x14ac:dyDescent="0.2">
      <c r="A358" s="45"/>
      <c r="B358" s="45"/>
      <c r="C358" s="45"/>
      <c r="D358" s="45"/>
      <c r="E358" s="45"/>
    </row>
    <row r="359" spans="1:5" ht="12.75" x14ac:dyDescent="0.2">
      <c r="A359" s="45"/>
      <c r="B359" s="45"/>
      <c r="C359" s="45"/>
      <c r="D359" s="45"/>
      <c r="E359" s="45"/>
    </row>
    <row r="360" spans="1:5" ht="12.75" x14ac:dyDescent="0.2">
      <c r="A360" s="45"/>
      <c r="B360" s="45"/>
      <c r="C360" s="45"/>
      <c r="D360" s="45"/>
      <c r="E360" s="45"/>
    </row>
    <row r="361" spans="1:5" ht="12.75" x14ac:dyDescent="0.2">
      <c r="A361" s="45"/>
      <c r="B361" s="45"/>
      <c r="C361" s="45"/>
      <c r="D361" s="45"/>
      <c r="E361" s="45"/>
    </row>
    <row r="362" spans="1:5" ht="12.75" x14ac:dyDescent="0.2">
      <c r="A362" s="45"/>
      <c r="B362" s="45"/>
      <c r="C362" s="45"/>
      <c r="D362" s="45"/>
      <c r="E362" s="45"/>
    </row>
    <row r="363" spans="1:5" ht="12.75" x14ac:dyDescent="0.2">
      <c r="A363" s="45"/>
      <c r="B363" s="45"/>
      <c r="C363" s="45"/>
      <c r="D363" s="45"/>
      <c r="E363" s="45"/>
    </row>
    <row r="364" spans="1:5" ht="12.75" x14ac:dyDescent="0.2">
      <c r="A364" s="45"/>
      <c r="B364" s="45"/>
      <c r="C364" s="45"/>
      <c r="D364" s="45"/>
      <c r="E364" s="45"/>
    </row>
    <row r="365" spans="1:5" ht="12.75" x14ac:dyDescent="0.2">
      <c r="A365" s="45"/>
      <c r="B365" s="45"/>
      <c r="C365" s="45"/>
      <c r="D365" s="45"/>
      <c r="E365" s="45"/>
    </row>
    <row r="366" spans="1:5" ht="12.75" x14ac:dyDescent="0.2">
      <c r="A366" s="45"/>
      <c r="B366" s="45"/>
      <c r="C366" s="45"/>
      <c r="D366" s="45"/>
      <c r="E366" s="45"/>
    </row>
    <row r="367" spans="1:5" ht="12.75" x14ac:dyDescent="0.2">
      <c r="A367" s="45"/>
      <c r="B367" s="45"/>
      <c r="C367" s="45"/>
      <c r="D367" s="45"/>
      <c r="E367" s="45"/>
    </row>
    <row r="368" spans="1:5" ht="12.75" x14ac:dyDescent="0.2">
      <c r="A368" s="45"/>
      <c r="B368" s="45"/>
      <c r="C368" s="45"/>
      <c r="D368" s="45"/>
      <c r="E368" s="45"/>
    </row>
    <row r="369" spans="1:5" ht="12.75" x14ac:dyDescent="0.2">
      <c r="A369" s="45"/>
      <c r="B369" s="45"/>
      <c r="C369" s="45"/>
      <c r="D369" s="45"/>
      <c r="E369" s="45"/>
    </row>
    <row r="370" spans="1:5" ht="12.75" x14ac:dyDescent="0.2">
      <c r="A370" s="45"/>
      <c r="B370" s="45"/>
      <c r="C370" s="45"/>
      <c r="D370" s="45"/>
      <c r="E370" s="45"/>
    </row>
    <row r="371" spans="1:5" ht="12.75" x14ac:dyDescent="0.2">
      <c r="A371" s="45"/>
      <c r="B371" s="45"/>
      <c r="C371" s="45"/>
      <c r="D371" s="45"/>
      <c r="E371" s="45"/>
    </row>
    <row r="372" spans="1:5" ht="12.75" x14ac:dyDescent="0.2">
      <c r="A372" s="45"/>
      <c r="B372" s="45"/>
      <c r="C372" s="45"/>
      <c r="D372" s="45"/>
      <c r="E372" s="45"/>
    </row>
    <row r="373" spans="1:5" ht="12.75" x14ac:dyDescent="0.2">
      <c r="A373" s="45"/>
      <c r="B373" s="45"/>
      <c r="C373" s="45"/>
      <c r="D373" s="45"/>
      <c r="E373" s="45"/>
    </row>
    <row r="374" spans="1:5" ht="12.75" x14ac:dyDescent="0.2">
      <c r="A374" s="45"/>
      <c r="B374" s="45"/>
      <c r="C374" s="45"/>
      <c r="D374" s="45"/>
      <c r="E374" s="45"/>
    </row>
    <row r="375" spans="1:5" ht="12.75" x14ac:dyDescent="0.2">
      <c r="A375" s="45"/>
      <c r="B375" s="45"/>
      <c r="C375" s="45"/>
      <c r="D375" s="45"/>
      <c r="E375" s="45"/>
    </row>
    <row r="376" spans="1:5" ht="12.75" x14ac:dyDescent="0.2">
      <c r="A376" s="45"/>
      <c r="B376" s="45"/>
      <c r="C376" s="45"/>
      <c r="D376" s="45"/>
      <c r="E376" s="45"/>
    </row>
    <row r="377" spans="1:5" ht="12.75" x14ac:dyDescent="0.2">
      <c r="A377" s="45"/>
      <c r="B377" s="45"/>
      <c r="C377" s="45"/>
      <c r="D377" s="45"/>
      <c r="E377" s="45"/>
    </row>
    <row r="378" spans="1:5" ht="12.75" x14ac:dyDescent="0.2">
      <c r="A378" s="45"/>
      <c r="B378" s="45"/>
      <c r="C378" s="45"/>
      <c r="D378" s="45"/>
      <c r="E378" s="45"/>
    </row>
    <row r="379" spans="1:5" ht="12.75" x14ac:dyDescent="0.2">
      <c r="A379" s="45"/>
      <c r="B379" s="45"/>
      <c r="C379" s="45"/>
      <c r="D379" s="45"/>
      <c r="E379" s="45"/>
    </row>
    <row r="380" spans="1:5" ht="12.75" x14ac:dyDescent="0.2">
      <c r="A380" s="45"/>
      <c r="B380" s="45"/>
      <c r="C380" s="45"/>
      <c r="D380" s="45"/>
      <c r="E380" s="45"/>
    </row>
    <row r="381" spans="1:5" ht="12.75" x14ac:dyDescent="0.2">
      <c r="A381" s="45"/>
      <c r="B381" s="45"/>
      <c r="C381" s="45"/>
      <c r="D381" s="45"/>
      <c r="E381" s="45"/>
    </row>
    <row r="382" spans="1:5" ht="12.75" x14ac:dyDescent="0.2">
      <c r="A382" s="45"/>
      <c r="B382" s="45"/>
      <c r="C382" s="45"/>
      <c r="D382" s="45"/>
      <c r="E382" s="45"/>
    </row>
    <row r="383" spans="1:5" ht="12.75" x14ac:dyDescent="0.2">
      <c r="A383" s="45"/>
      <c r="B383" s="45"/>
      <c r="C383" s="45"/>
      <c r="D383" s="45"/>
      <c r="E383" s="45"/>
    </row>
    <row r="384" spans="1:5" ht="12.75" x14ac:dyDescent="0.2">
      <c r="A384" s="45"/>
      <c r="B384" s="45"/>
      <c r="C384" s="45"/>
      <c r="D384" s="45"/>
      <c r="E384" s="45"/>
    </row>
    <row r="385" spans="1:5" ht="12.75" x14ac:dyDescent="0.2">
      <c r="A385" s="45"/>
      <c r="B385" s="45"/>
      <c r="C385" s="45"/>
      <c r="D385" s="45"/>
      <c r="E385" s="45"/>
    </row>
    <row r="386" spans="1:5" ht="12.75" x14ac:dyDescent="0.2">
      <c r="A386" s="45"/>
      <c r="B386" s="45"/>
      <c r="C386" s="45"/>
      <c r="D386" s="45"/>
      <c r="E386" s="45"/>
    </row>
    <row r="387" spans="1:5" ht="12.75" x14ac:dyDescent="0.2">
      <c r="A387" s="45"/>
      <c r="B387" s="45"/>
      <c r="C387" s="45"/>
      <c r="D387" s="45"/>
      <c r="E387" s="45"/>
    </row>
    <row r="388" spans="1:5" ht="12.75" x14ac:dyDescent="0.2">
      <c r="A388" s="45"/>
      <c r="B388" s="45"/>
      <c r="C388" s="45"/>
      <c r="D388" s="45"/>
      <c r="E388" s="45"/>
    </row>
    <row r="389" spans="1:5" ht="12.75" x14ac:dyDescent="0.2">
      <c r="A389" s="45"/>
      <c r="B389" s="45"/>
      <c r="C389" s="45"/>
      <c r="D389" s="45"/>
      <c r="E389" s="45"/>
    </row>
    <row r="390" spans="1:5" ht="12.75" x14ac:dyDescent="0.2">
      <c r="A390" s="45"/>
      <c r="B390" s="45"/>
      <c r="C390" s="45"/>
      <c r="D390" s="45"/>
      <c r="E390" s="45"/>
    </row>
    <row r="391" spans="1:5" ht="12.75" x14ac:dyDescent="0.2">
      <c r="A391" s="45"/>
      <c r="B391" s="45"/>
      <c r="C391" s="45"/>
      <c r="D391" s="45"/>
      <c r="E391" s="45"/>
    </row>
    <row r="392" spans="1:5" ht="12.75" x14ac:dyDescent="0.2">
      <c r="A392" s="45"/>
      <c r="B392" s="45"/>
      <c r="C392" s="45"/>
      <c r="D392" s="45"/>
      <c r="E392" s="45"/>
    </row>
    <row r="393" spans="1:5" ht="12.75" x14ac:dyDescent="0.2">
      <c r="A393" s="45"/>
      <c r="B393" s="45"/>
      <c r="C393" s="45"/>
      <c r="D393" s="45"/>
      <c r="E393" s="45"/>
    </row>
    <row r="394" spans="1:5" ht="12.75" x14ac:dyDescent="0.2">
      <c r="A394" s="45"/>
      <c r="B394" s="45"/>
      <c r="C394" s="45"/>
      <c r="D394" s="45"/>
      <c r="E394" s="45"/>
    </row>
    <row r="395" spans="1:5" ht="12.75" x14ac:dyDescent="0.2">
      <c r="A395" s="45"/>
      <c r="B395" s="45"/>
      <c r="C395" s="45"/>
      <c r="D395" s="45"/>
      <c r="E395" s="45"/>
    </row>
    <row r="396" spans="1:5" ht="12.75" x14ac:dyDescent="0.2">
      <c r="A396" s="45"/>
      <c r="B396" s="45"/>
      <c r="C396" s="45"/>
      <c r="D396" s="45"/>
      <c r="E396" s="45"/>
    </row>
    <row r="397" spans="1:5" ht="12.75" x14ac:dyDescent="0.2">
      <c r="A397" s="45"/>
      <c r="B397" s="45"/>
      <c r="C397" s="45"/>
      <c r="D397" s="45"/>
      <c r="E397" s="45"/>
    </row>
    <row r="398" spans="1:5" ht="12.75" x14ac:dyDescent="0.2">
      <c r="A398" s="45"/>
      <c r="B398" s="45"/>
      <c r="C398" s="45"/>
      <c r="D398" s="45"/>
      <c r="E398" s="45"/>
    </row>
    <row r="399" spans="1:5" ht="12.75" x14ac:dyDescent="0.2">
      <c r="A399" s="45"/>
      <c r="B399" s="45"/>
      <c r="C399" s="45"/>
      <c r="D399" s="45"/>
      <c r="E399" s="45"/>
    </row>
    <row r="400" spans="1:5" ht="12.75" x14ac:dyDescent="0.2">
      <c r="A400" s="45"/>
      <c r="B400" s="45"/>
      <c r="C400" s="45"/>
      <c r="D400" s="45"/>
      <c r="E400" s="45"/>
    </row>
    <row r="401" spans="1:5" ht="12.75" x14ac:dyDescent="0.2">
      <c r="A401" s="45"/>
      <c r="B401" s="45"/>
      <c r="C401" s="45"/>
      <c r="D401" s="45"/>
      <c r="E401" s="45"/>
    </row>
    <row r="402" spans="1:5" ht="12.75" x14ac:dyDescent="0.2">
      <c r="A402" s="45"/>
      <c r="B402" s="45"/>
      <c r="C402" s="45"/>
      <c r="D402" s="45"/>
      <c r="E402" s="45"/>
    </row>
    <row r="403" spans="1:5" ht="12.75" x14ac:dyDescent="0.2">
      <c r="A403" s="45"/>
      <c r="B403" s="45"/>
      <c r="C403" s="45"/>
      <c r="D403" s="45"/>
      <c r="E403" s="45"/>
    </row>
    <row r="404" spans="1:5" ht="12.75" x14ac:dyDescent="0.2">
      <c r="A404" s="45"/>
      <c r="B404" s="45"/>
      <c r="C404" s="45"/>
      <c r="D404" s="45"/>
      <c r="E404" s="45"/>
    </row>
    <row r="405" spans="1:5" ht="12.75" x14ac:dyDescent="0.2">
      <c r="A405" s="45"/>
      <c r="B405" s="45"/>
      <c r="C405" s="45"/>
      <c r="D405" s="45"/>
      <c r="E405" s="45"/>
    </row>
    <row r="406" spans="1:5" ht="12.75" x14ac:dyDescent="0.2">
      <c r="A406" s="45"/>
      <c r="B406" s="45"/>
      <c r="C406" s="45"/>
      <c r="D406" s="45"/>
      <c r="E406" s="45"/>
    </row>
    <row r="407" spans="1:5" ht="12.75" x14ac:dyDescent="0.2">
      <c r="A407" s="45"/>
      <c r="B407" s="45"/>
      <c r="C407" s="45"/>
      <c r="D407" s="45"/>
      <c r="E407" s="45"/>
    </row>
    <row r="408" spans="1:5" ht="12.75" x14ac:dyDescent="0.2">
      <c r="A408" s="45"/>
      <c r="B408" s="45"/>
      <c r="C408" s="45"/>
      <c r="D408" s="45"/>
      <c r="E408" s="45"/>
    </row>
    <row r="409" spans="1:5" ht="12.75" x14ac:dyDescent="0.2">
      <c r="A409" s="45"/>
      <c r="B409" s="45"/>
      <c r="C409" s="45"/>
      <c r="D409" s="45"/>
      <c r="E409" s="45"/>
    </row>
    <row r="410" spans="1:5" ht="12.75" x14ac:dyDescent="0.2">
      <c r="A410" s="45"/>
      <c r="B410" s="45"/>
      <c r="C410" s="45"/>
      <c r="D410" s="45"/>
      <c r="E410" s="45"/>
    </row>
    <row r="411" spans="1:5" ht="12.75" x14ac:dyDescent="0.2">
      <c r="A411" s="45"/>
      <c r="B411" s="45"/>
      <c r="C411" s="45"/>
      <c r="D411" s="45"/>
      <c r="E411" s="45"/>
    </row>
    <row r="412" spans="1:5" ht="12.75" x14ac:dyDescent="0.2">
      <c r="A412" s="45"/>
      <c r="B412" s="45"/>
      <c r="C412" s="45"/>
      <c r="D412" s="45"/>
      <c r="E412" s="45"/>
    </row>
    <row r="413" spans="1:5" ht="12.75" x14ac:dyDescent="0.2">
      <c r="A413" s="45"/>
      <c r="B413" s="45"/>
      <c r="C413" s="45"/>
      <c r="D413" s="45"/>
      <c r="E413" s="45"/>
    </row>
    <row r="414" spans="1:5" ht="12.75" x14ac:dyDescent="0.2">
      <c r="A414" s="45"/>
      <c r="B414" s="45"/>
      <c r="C414" s="45"/>
      <c r="D414" s="45"/>
      <c r="E414" s="45"/>
    </row>
    <row r="415" spans="1:5" ht="12.75" x14ac:dyDescent="0.2">
      <c r="A415" s="45"/>
      <c r="B415" s="45"/>
      <c r="C415" s="45"/>
      <c r="D415" s="45"/>
      <c r="E415" s="45"/>
    </row>
    <row r="416" spans="1:5" ht="12.75" x14ac:dyDescent="0.2">
      <c r="A416" s="45"/>
      <c r="B416" s="45"/>
      <c r="C416" s="45"/>
      <c r="D416" s="45"/>
      <c r="E416" s="45"/>
    </row>
    <row r="417" spans="1:5" ht="12.75" x14ac:dyDescent="0.2">
      <c r="A417" s="45"/>
      <c r="B417" s="45"/>
      <c r="C417" s="45"/>
      <c r="D417" s="45"/>
      <c r="E417" s="45"/>
    </row>
    <row r="418" spans="1:5" ht="12.75" x14ac:dyDescent="0.2">
      <c r="A418" s="45"/>
      <c r="B418" s="45"/>
      <c r="C418" s="45"/>
      <c r="D418" s="45"/>
      <c r="E418" s="45"/>
    </row>
    <row r="419" spans="1:5" ht="12.75" x14ac:dyDescent="0.2">
      <c r="A419" s="45"/>
      <c r="B419" s="45"/>
      <c r="C419" s="45"/>
      <c r="D419" s="45"/>
      <c r="E419" s="45"/>
    </row>
    <row r="420" spans="1:5" ht="12.75" x14ac:dyDescent="0.2">
      <c r="A420" s="45"/>
      <c r="B420" s="45"/>
      <c r="C420" s="45"/>
      <c r="D420" s="45"/>
      <c r="E420" s="45"/>
    </row>
    <row r="421" spans="1:5" ht="12.75" x14ac:dyDescent="0.2">
      <c r="A421" s="45"/>
      <c r="B421" s="45"/>
      <c r="C421" s="45"/>
      <c r="D421" s="45"/>
      <c r="E421" s="45"/>
    </row>
    <row r="422" spans="1:5" ht="12.75" x14ac:dyDescent="0.2">
      <c r="A422" s="45"/>
      <c r="B422" s="45"/>
      <c r="C422" s="45"/>
      <c r="D422" s="45"/>
      <c r="E422" s="45"/>
    </row>
    <row r="423" spans="1:5" ht="12.75" x14ac:dyDescent="0.2">
      <c r="A423" s="45"/>
      <c r="B423" s="45"/>
      <c r="C423" s="45"/>
      <c r="D423" s="45"/>
      <c r="E423" s="45"/>
    </row>
    <row r="424" spans="1:5" ht="12.75" x14ac:dyDescent="0.2">
      <c r="A424" s="45"/>
      <c r="B424" s="45"/>
      <c r="C424" s="45"/>
      <c r="D424" s="45"/>
      <c r="E424" s="45"/>
    </row>
    <row r="425" spans="1:5" ht="12.75" x14ac:dyDescent="0.2">
      <c r="A425" s="45"/>
      <c r="B425" s="45"/>
      <c r="C425" s="45"/>
      <c r="D425" s="45"/>
      <c r="E425" s="45"/>
    </row>
    <row r="426" spans="1:5" ht="12.75" x14ac:dyDescent="0.2">
      <c r="A426" s="45"/>
      <c r="B426" s="45"/>
      <c r="C426" s="45"/>
      <c r="D426" s="45"/>
      <c r="E426" s="45"/>
    </row>
    <row r="427" spans="1:5" ht="12.75" x14ac:dyDescent="0.2">
      <c r="A427" s="45"/>
      <c r="B427" s="45"/>
      <c r="C427" s="45"/>
      <c r="D427" s="45"/>
      <c r="E427" s="45"/>
    </row>
    <row r="428" spans="1:5" ht="12.75" x14ac:dyDescent="0.2">
      <c r="A428" s="45"/>
      <c r="B428" s="45"/>
      <c r="C428" s="45"/>
      <c r="D428" s="45"/>
      <c r="E428" s="45"/>
    </row>
    <row r="429" spans="1:5" ht="12.75" x14ac:dyDescent="0.2">
      <c r="A429" s="45"/>
      <c r="B429" s="45"/>
      <c r="C429" s="45"/>
      <c r="D429" s="45"/>
      <c r="E429" s="45"/>
    </row>
    <row r="430" spans="1:5" ht="12.75" x14ac:dyDescent="0.2">
      <c r="A430" s="45"/>
      <c r="B430" s="45"/>
      <c r="C430" s="45"/>
      <c r="D430" s="45"/>
      <c r="E430" s="45"/>
    </row>
    <row r="431" spans="1:5" ht="12.75" x14ac:dyDescent="0.2">
      <c r="A431" s="45"/>
      <c r="B431" s="45"/>
      <c r="C431" s="45"/>
      <c r="D431" s="45"/>
      <c r="E431" s="45"/>
    </row>
    <row r="432" spans="1:5" ht="12.75" x14ac:dyDescent="0.2">
      <c r="A432" s="45"/>
      <c r="B432" s="45"/>
      <c r="C432" s="45"/>
      <c r="D432" s="45"/>
      <c r="E432" s="45"/>
    </row>
    <row r="433" spans="1:5" ht="12.75" x14ac:dyDescent="0.2">
      <c r="A433" s="45"/>
      <c r="B433" s="45"/>
      <c r="C433" s="45"/>
      <c r="D433" s="45"/>
      <c r="E433" s="45"/>
    </row>
    <row r="434" spans="1:5" ht="12.75" x14ac:dyDescent="0.2">
      <c r="A434" s="45"/>
      <c r="B434" s="45"/>
      <c r="C434" s="45"/>
      <c r="D434" s="45"/>
      <c r="E434" s="45"/>
    </row>
    <row r="435" spans="1:5" ht="12.75" x14ac:dyDescent="0.2">
      <c r="A435" s="45"/>
      <c r="B435" s="45"/>
      <c r="C435" s="45"/>
      <c r="D435" s="45"/>
      <c r="E435" s="45"/>
    </row>
    <row r="436" spans="1:5" ht="12.75" x14ac:dyDescent="0.2">
      <c r="A436" s="45"/>
      <c r="B436" s="45"/>
      <c r="C436" s="45"/>
      <c r="D436" s="45"/>
      <c r="E436" s="45"/>
    </row>
    <row r="437" spans="1:5" ht="12.75" x14ac:dyDescent="0.2">
      <c r="A437" s="45"/>
      <c r="B437" s="45"/>
      <c r="C437" s="45"/>
      <c r="D437" s="45"/>
      <c r="E437" s="45"/>
    </row>
    <row r="438" spans="1:5" ht="12.75" x14ac:dyDescent="0.2">
      <c r="A438" s="45"/>
      <c r="B438" s="45"/>
      <c r="C438" s="45"/>
      <c r="D438" s="45"/>
      <c r="E438" s="45"/>
    </row>
    <row r="439" spans="1:5" ht="12.75" x14ac:dyDescent="0.2">
      <c r="A439" s="45"/>
      <c r="B439" s="45"/>
      <c r="C439" s="45"/>
      <c r="D439" s="45"/>
      <c r="E439" s="45"/>
    </row>
    <row r="440" spans="1:5" ht="12.75" x14ac:dyDescent="0.2">
      <c r="A440" s="45"/>
      <c r="B440" s="45"/>
      <c r="C440" s="45"/>
      <c r="D440" s="45"/>
      <c r="E440" s="45"/>
    </row>
    <row r="441" spans="1:5" ht="12.75" x14ac:dyDescent="0.2">
      <c r="A441" s="45"/>
      <c r="B441" s="45"/>
      <c r="C441" s="45"/>
      <c r="D441" s="45"/>
      <c r="E441" s="45"/>
    </row>
    <row r="442" spans="1:5" ht="12.75" x14ac:dyDescent="0.2">
      <c r="A442" s="45"/>
      <c r="B442" s="45"/>
      <c r="C442" s="45"/>
      <c r="D442" s="45"/>
      <c r="E442" s="45"/>
    </row>
    <row r="443" spans="1:5" ht="12.75" x14ac:dyDescent="0.2">
      <c r="A443" s="45"/>
      <c r="B443" s="45"/>
      <c r="C443" s="45"/>
      <c r="D443" s="45"/>
      <c r="E443" s="45"/>
    </row>
    <row r="444" spans="1:5" ht="12.75" x14ac:dyDescent="0.2">
      <c r="A444" s="45"/>
      <c r="B444" s="45"/>
      <c r="C444" s="45"/>
      <c r="D444" s="45"/>
      <c r="E444" s="45"/>
    </row>
    <row r="445" spans="1:5" ht="12.75" x14ac:dyDescent="0.2">
      <c r="A445" s="45"/>
      <c r="B445" s="45"/>
      <c r="C445" s="45"/>
      <c r="D445" s="45"/>
      <c r="E445" s="45"/>
    </row>
    <row r="446" spans="1:5" ht="12.75" x14ac:dyDescent="0.2">
      <c r="A446" s="45"/>
      <c r="B446" s="45"/>
      <c r="C446" s="45"/>
      <c r="D446" s="45"/>
      <c r="E446" s="45"/>
    </row>
    <row r="447" spans="1:5" ht="12.75" x14ac:dyDescent="0.2">
      <c r="A447" s="45"/>
      <c r="B447" s="45"/>
      <c r="C447" s="45"/>
      <c r="D447" s="45"/>
      <c r="E447" s="45"/>
    </row>
    <row r="448" spans="1:5" ht="12.75" x14ac:dyDescent="0.2">
      <c r="A448" s="45"/>
      <c r="B448" s="45"/>
      <c r="C448" s="45"/>
      <c r="D448" s="45"/>
      <c r="E448" s="45"/>
    </row>
    <row r="449" spans="1:5" ht="12.75" x14ac:dyDescent="0.2">
      <c r="A449" s="45"/>
      <c r="B449" s="45"/>
      <c r="C449" s="45"/>
      <c r="D449" s="45"/>
      <c r="E449" s="45"/>
    </row>
    <row r="450" spans="1:5" ht="12.75" x14ac:dyDescent="0.2">
      <c r="A450" s="45"/>
      <c r="B450" s="45"/>
      <c r="C450" s="45"/>
      <c r="D450" s="45"/>
      <c r="E450" s="45"/>
    </row>
    <row r="451" spans="1:5" ht="12.75" x14ac:dyDescent="0.2">
      <c r="A451" s="45"/>
      <c r="B451" s="45"/>
      <c r="C451" s="45"/>
      <c r="D451" s="45"/>
      <c r="E451" s="45"/>
    </row>
    <row r="452" spans="1:5" ht="12.75" x14ac:dyDescent="0.2">
      <c r="A452" s="45"/>
      <c r="B452" s="45"/>
      <c r="C452" s="45"/>
      <c r="D452" s="45"/>
      <c r="E452" s="45"/>
    </row>
    <row r="453" spans="1:5" ht="12.75" x14ac:dyDescent="0.2">
      <c r="A453" s="45"/>
      <c r="B453" s="45"/>
      <c r="C453" s="45"/>
      <c r="D453" s="45"/>
      <c r="E453" s="45"/>
    </row>
    <row r="454" spans="1:5" ht="12.75" x14ac:dyDescent="0.2">
      <c r="A454" s="45"/>
      <c r="B454" s="45"/>
      <c r="C454" s="45"/>
      <c r="D454" s="45"/>
      <c r="E454" s="45"/>
    </row>
    <row r="455" spans="1:5" ht="12.75" x14ac:dyDescent="0.2">
      <c r="A455" s="45"/>
      <c r="B455" s="45"/>
      <c r="C455" s="45"/>
      <c r="D455" s="45"/>
      <c r="E455" s="45"/>
    </row>
    <row r="456" spans="1:5" ht="12.75" x14ac:dyDescent="0.2">
      <c r="A456" s="45"/>
      <c r="B456" s="45"/>
      <c r="C456" s="45"/>
      <c r="D456" s="45"/>
      <c r="E456" s="45"/>
    </row>
    <row r="457" spans="1:5" ht="12.75" x14ac:dyDescent="0.2">
      <c r="A457" s="45"/>
      <c r="B457" s="45"/>
      <c r="C457" s="45"/>
      <c r="D457" s="45"/>
      <c r="E457" s="45"/>
    </row>
    <row r="458" spans="1:5" ht="12.75" x14ac:dyDescent="0.2">
      <c r="A458" s="45"/>
      <c r="B458" s="45"/>
      <c r="C458" s="45"/>
      <c r="D458" s="45"/>
      <c r="E458" s="45"/>
    </row>
    <row r="459" spans="1:5" ht="12.75" x14ac:dyDescent="0.2">
      <c r="A459" s="45"/>
      <c r="B459" s="45"/>
      <c r="C459" s="45"/>
      <c r="D459" s="45"/>
      <c r="E459" s="45"/>
    </row>
    <row r="460" spans="1:5" ht="12.75" x14ac:dyDescent="0.2">
      <c r="A460" s="45"/>
      <c r="B460" s="45"/>
      <c r="C460" s="45"/>
      <c r="D460" s="45"/>
      <c r="E460" s="45"/>
    </row>
    <row r="461" spans="1:5" ht="12.75" x14ac:dyDescent="0.2">
      <c r="A461" s="45"/>
      <c r="B461" s="45"/>
      <c r="C461" s="45"/>
      <c r="D461" s="45"/>
      <c r="E461" s="45"/>
    </row>
    <row r="462" spans="1:5" ht="12.75" x14ac:dyDescent="0.2">
      <c r="A462" s="45"/>
      <c r="B462" s="45"/>
      <c r="C462" s="45"/>
      <c r="D462" s="45"/>
      <c r="E462" s="45"/>
    </row>
    <row r="463" spans="1:5" ht="12.75" x14ac:dyDescent="0.2">
      <c r="A463" s="45"/>
      <c r="B463" s="45"/>
      <c r="C463" s="45"/>
      <c r="D463" s="45"/>
      <c r="E463" s="45"/>
    </row>
    <row r="464" spans="1:5" ht="12.75" x14ac:dyDescent="0.2">
      <c r="A464" s="45"/>
      <c r="B464" s="45"/>
      <c r="C464" s="45"/>
      <c r="D464" s="45"/>
      <c r="E464" s="45"/>
    </row>
    <row r="465" spans="1:5" ht="12.75" x14ac:dyDescent="0.2">
      <c r="A465" s="45"/>
      <c r="B465" s="45"/>
      <c r="C465" s="45"/>
      <c r="D465" s="45"/>
      <c r="E465" s="45"/>
    </row>
    <row r="466" spans="1:5" ht="12.75" x14ac:dyDescent="0.2">
      <c r="A466" s="45"/>
      <c r="B466" s="45"/>
      <c r="C466" s="45"/>
      <c r="D466" s="45"/>
      <c r="E466" s="45"/>
    </row>
    <row r="467" spans="1:5" ht="12.75" x14ac:dyDescent="0.2">
      <c r="A467" s="45"/>
      <c r="B467" s="45"/>
      <c r="C467" s="45"/>
      <c r="D467" s="45"/>
      <c r="E467" s="45"/>
    </row>
    <row r="468" spans="1:5" ht="12.75" x14ac:dyDescent="0.2">
      <c r="A468" s="45"/>
      <c r="B468" s="45"/>
      <c r="C468" s="45"/>
      <c r="D468" s="45"/>
      <c r="E468" s="45"/>
    </row>
    <row r="469" spans="1:5" ht="12.75" x14ac:dyDescent="0.2">
      <c r="A469" s="45"/>
      <c r="B469" s="45"/>
      <c r="C469" s="45"/>
      <c r="D469" s="45"/>
      <c r="E469" s="45"/>
    </row>
    <row r="470" spans="1:5" ht="12.75" x14ac:dyDescent="0.2">
      <c r="A470" s="45"/>
      <c r="B470" s="45"/>
      <c r="C470" s="45"/>
      <c r="D470" s="45"/>
      <c r="E470" s="45"/>
    </row>
    <row r="471" spans="1:5" ht="12.75" x14ac:dyDescent="0.2">
      <c r="A471" s="45"/>
      <c r="B471" s="45"/>
      <c r="C471" s="45"/>
      <c r="D471" s="45"/>
      <c r="E471" s="45"/>
    </row>
    <row r="472" spans="1:5" ht="12.75" x14ac:dyDescent="0.2">
      <c r="A472" s="45"/>
      <c r="B472" s="45"/>
      <c r="C472" s="45"/>
      <c r="D472" s="45"/>
      <c r="E472" s="45"/>
    </row>
    <row r="473" spans="1:5" ht="12.75" x14ac:dyDescent="0.2">
      <c r="A473" s="45"/>
      <c r="B473" s="45"/>
      <c r="C473" s="45"/>
      <c r="D473" s="45"/>
      <c r="E473" s="45"/>
    </row>
    <row r="474" spans="1:5" ht="12.75" x14ac:dyDescent="0.2">
      <c r="A474" s="45"/>
      <c r="B474" s="45"/>
      <c r="C474" s="45"/>
      <c r="D474" s="45"/>
      <c r="E474" s="45"/>
    </row>
    <row r="475" spans="1:5" ht="12.75" x14ac:dyDescent="0.2">
      <c r="A475" s="45"/>
      <c r="B475" s="45"/>
      <c r="C475" s="45"/>
      <c r="D475" s="45"/>
      <c r="E475" s="45"/>
    </row>
    <row r="476" spans="1:5" ht="12.75" x14ac:dyDescent="0.2">
      <c r="A476" s="45"/>
      <c r="B476" s="45"/>
      <c r="C476" s="45"/>
      <c r="D476" s="45"/>
      <c r="E476" s="45"/>
    </row>
    <row r="477" spans="1:5" ht="12.75" x14ac:dyDescent="0.2">
      <c r="A477" s="45"/>
      <c r="B477" s="45"/>
      <c r="C477" s="45"/>
      <c r="D477" s="45"/>
      <c r="E477" s="45"/>
    </row>
    <row r="478" spans="1:5" ht="12.75" x14ac:dyDescent="0.2">
      <c r="A478" s="45"/>
      <c r="B478" s="45"/>
      <c r="C478" s="45"/>
      <c r="D478" s="45"/>
      <c r="E478" s="45"/>
    </row>
    <row r="479" spans="1:5" ht="12.75" x14ac:dyDescent="0.2">
      <c r="A479" s="45"/>
      <c r="B479" s="45"/>
      <c r="C479" s="45"/>
      <c r="D479" s="45"/>
      <c r="E479" s="45"/>
    </row>
    <row r="480" spans="1:5" ht="12.75" x14ac:dyDescent="0.2">
      <c r="A480" s="45"/>
      <c r="B480" s="45"/>
      <c r="C480" s="45"/>
      <c r="D480" s="45"/>
      <c r="E480" s="45"/>
    </row>
    <row r="481" spans="1:5" ht="12.75" x14ac:dyDescent="0.2">
      <c r="A481" s="45"/>
      <c r="B481" s="45"/>
      <c r="C481" s="45"/>
      <c r="D481" s="45"/>
      <c r="E481" s="45"/>
    </row>
    <row r="482" spans="1:5" ht="12.75" x14ac:dyDescent="0.2">
      <c r="A482" s="45"/>
      <c r="B482" s="45"/>
      <c r="C482" s="45"/>
      <c r="D482" s="45"/>
      <c r="E482" s="45"/>
    </row>
    <row r="483" spans="1:5" ht="12.75" x14ac:dyDescent="0.2">
      <c r="A483" s="45"/>
      <c r="B483" s="45"/>
      <c r="C483" s="45"/>
      <c r="D483" s="45"/>
      <c r="E483" s="45"/>
    </row>
    <row r="484" spans="1:5" ht="12.75" x14ac:dyDescent="0.2">
      <c r="A484" s="45"/>
      <c r="B484" s="45"/>
      <c r="C484" s="45"/>
      <c r="D484" s="45"/>
      <c r="E484" s="45"/>
    </row>
    <row r="485" spans="1:5" ht="12.75" x14ac:dyDescent="0.2">
      <c r="A485" s="45"/>
      <c r="B485" s="45"/>
      <c r="C485" s="45"/>
      <c r="D485" s="45"/>
      <c r="E485" s="45"/>
    </row>
    <row r="486" spans="1:5" ht="12.75" x14ac:dyDescent="0.2">
      <c r="A486" s="45"/>
      <c r="B486" s="45"/>
      <c r="C486" s="45"/>
      <c r="D486" s="45"/>
      <c r="E486" s="45"/>
    </row>
    <row r="487" spans="1:5" ht="12.75" x14ac:dyDescent="0.2">
      <c r="A487" s="45"/>
      <c r="B487" s="45"/>
      <c r="C487" s="45"/>
      <c r="D487" s="45"/>
      <c r="E487" s="45"/>
    </row>
    <row r="488" spans="1:5" ht="12.75" x14ac:dyDescent="0.2">
      <c r="A488" s="45"/>
      <c r="B488" s="45"/>
      <c r="C488" s="45"/>
      <c r="D488" s="45"/>
      <c r="E488" s="45"/>
    </row>
    <row r="489" spans="1:5" ht="12.75" x14ac:dyDescent="0.2">
      <c r="A489" s="45"/>
      <c r="B489" s="45"/>
      <c r="C489" s="45"/>
      <c r="D489" s="45"/>
      <c r="E489" s="45"/>
    </row>
    <row r="490" spans="1:5" ht="12.75" x14ac:dyDescent="0.2">
      <c r="A490" s="45"/>
      <c r="B490" s="45"/>
      <c r="C490" s="45"/>
      <c r="D490" s="45"/>
      <c r="E490" s="45"/>
    </row>
    <row r="491" spans="1:5" ht="12.75" x14ac:dyDescent="0.2">
      <c r="A491" s="45"/>
      <c r="B491" s="45"/>
      <c r="C491" s="45"/>
      <c r="D491" s="45"/>
      <c r="E491" s="45"/>
    </row>
    <row r="492" spans="1:5" ht="12.75" x14ac:dyDescent="0.2">
      <c r="A492" s="45"/>
      <c r="B492" s="45"/>
      <c r="C492" s="45"/>
      <c r="D492" s="45"/>
      <c r="E492" s="45"/>
    </row>
    <row r="493" spans="1:5" ht="12.75" x14ac:dyDescent="0.2">
      <c r="A493" s="45"/>
      <c r="B493" s="45"/>
      <c r="C493" s="45"/>
      <c r="D493" s="45"/>
      <c r="E493" s="45"/>
    </row>
    <row r="494" spans="1:5" ht="12.75" x14ac:dyDescent="0.2">
      <c r="A494" s="45"/>
      <c r="B494" s="45"/>
      <c r="C494" s="45"/>
      <c r="D494" s="45"/>
      <c r="E494" s="45"/>
    </row>
    <row r="495" spans="1:5" ht="12.75" x14ac:dyDescent="0.2">
      <c r="A495" s="45"/>
      <c r="B495" s="45"/>
      <c r="C495" s="45"/>
      <c r="D495" s="45"/>
      <c r="E495" s="45"/>
    </row>
    <row r="496" spans="1:5" ht="12.75" x14ac:dyDescent="0.2">
      <c r="A496" s="45"/>
      <c r="B496" s="45"/>
      <c r="C496" s="45"/>
      <c r="D496" s="45"/>
      <c r="E496" s="45"/>
    </row>
    <row r="497" spans="1:5" ht="12.75" x14ac:dyDescent="0.2">
      <c r="A497" s="45"/>
      <c r="B497" s="45"/>
      <c r="C497" s="45"/>
      <c r="D497" s="45"/>
      <c r="E497" s="45"/>
    </row>
    <row r="498" spans="1:5" ht="12.75" x14ac:dyDescent="0.2">
      <c r="A498" s="45"/>
      <c r="B498" s="45"/>
      <c r="C498" s="45"/>
      <c r="D498" s="45"/>
      <c r="E498" s="45"/>
    </row>
    <row r="499" spans="1:5" ht="12.75" x14ac:dyDescent="0.2">
      <c r="A499" s="45"/>
      <c r="B499" s="45"/>
      <c r="C499" s="45"/>
      <c r="D499" s="45"/>
      <c r="E499" s="45"/>
    </row>
    <row r="500" spans="1:5" ht="12.75" x14ac:dyDescent="0.2">
      <c r="A500" s="45"/>
      <c r="B500" s="45"/>
      <c r="C500" s="45"/>
      <c r="D500" s="45"/>
      <c r="E500" s="45"/>
    </row>
    <row r="501" spans="1:5" ht="12.75" x14ac:dyDescent="0.2">
      <c r="A501" s="45"/>
      <c r="B501" s="45"/>
      <c r="C501" s="45"/>
      <c r="D501" s="45"/>
      <c r="E501" s="45"/>
    </row>
    <row r="502" spans="1:5" ht="12.75" x14ac:dyDescent="0.2">
      <c r="A502" s="45"/>
      <c r="B502" s="45"/>
      <c r="C502" s="45"/>
      <c r="D502" s="45"/>
      <c r="E502" s="45"/>
    </row>
    <row r="503" spans="1:5" ht="12.75" x14ac:dyDescent="0.2">
      <c r="A503" s="45"/>
      <c r="B503" s="45"/>
      <c r="C503" s="45"/>
      <c r="D503" s="45"/>
      <c r="E503" s="45"/>
    </row>
    <row r="504" spans="1:5" ht="12.75" x14ac:dyDescent="0.2">
      <c r="A504" s="45"/>
      <c r="B504" s="45"/>
      <c r="C504" s="45"/>
      <c r="D504" s="45"/>
      <c r="E504" s="45"/>
    </row>
    <row r="505" spans="1:5" ht="12.75" x14ac:dyDescent="0.2">
      <c r="A505" s="45"/>
      <c r="B505" s="45"/>
      <c r="C505" s="45"/>
      <c r="D505" s="45"/>
      <c r="E505" s="45"/>
    </row>
    <row r="506" spans="1:5" ht="12.75" x14ac:dyDescent="0.2">
      <c r="A506" s="45"/>
      <c r="B506" s="45"/>
      <c r="C506" s="45"/>
      <c r="D506" s="45"/>
      <c r="E506" s="45"/>
    </row>
    <row r="507" spans="1:5" ht="12.75" x14ac:dyDescent="0.2">
      <c r="A507" s="45"/>
      <c r="B507" s="45"/>
      <c r="C507" s="45"/>
      <c r="D507" s="45"/>
      <c r="E507" s="45"/>
    </row>
    <row r="508" spans="1:5" ht="12.75" x14ac:dyDescent="0.2">
      <c r="A508" s="45"/>
      <c r="B508" s="45"/>
      <c r="C508" s="45"/>
      <c r="D508" s="45"/>
      <c r="E508" s="45"/>
    </row>
    <row r="509" spans="1:5" ht="12.75" x14ac:dyDescent="0.2">
      <c r="A509" s="45"/>
      <c r="B509" s="45"/>
      <c r="C509" s="45"/>
      <c r="D509" s="45"/>
      <c r="E509" s="45"/>
    </row>
    <row r="510" spans="1:5" ht="12.75" x14ac:dyDescent="0.2">
      <c r="A510" s="45"/>
      <c r="B510" s="45"/>
      <c r="C510" s="45"/>
      <c r="D510" s="45"/>
      <c r="E510" s="45"/>
    </row>
    <row r="511" spans="1:5" ht="12.75" x14ac:dyDescent="0.2">
      <c r="A511" s="45"/>
      <c r="B511" s="45"/>
      <c r="C511" s="45"/>
      <c r="D511" s="45"/>
      <c r="E511" s="45"/>
    </row>
    <row r="512" spans="1:5" ht="12.75" x14ac:dyDescent="0.2">
      <c r="A512" s="45"/>
      <c r="B512" s="45"/>
      <c r="C512" s="45"/>
      <c r="D512" s="45"/>
      <c r="E512" s="45"/>
    </row>
    <row r="513" spans="1:5" ht="12.75" x14ac:dyDescent="0.2">
      <c r="A513" s="45"/>
      <c r="B513" s="45"/>
      <c r="C513" s="45"/>
      <c r="D513" s="45"/>
      <c r="E513" s="45"/>
    </row>
    <row r="514" spans="1:5" ht="12.75" x14ac:dyDescent="0.2">
      <c r="A514" s="45"/>
      <c r="B514" s="45"/>
      <c r="C514" s="45"/>
      <c r="D514" s="45"/>
      <c r="E514" s="45"/>
    </row>
    <row r="515" spans="1:5" ht="12.75" x14ac:dyDescent="0.2">
      <c r="A515" s="45"/>
      <c r="B515" s="45"/>
      <c r="C515" s="45"/>
      <c r="D515" s="45"/>
      <c r="E515" s="45"/>
    </row>
    <row r="516" spans="1:5" ht="12.75" x14ac:dyDescent="0.2">
      <c r="A516" s="45"/>
      <c r="B516" s="45"/>
      <c r="C516" s="45"/>
      <c r="D516" s="45"/>
      <c r="E516" s="45"/>
    </row>
    <row r="517" spans="1:5" ht="12.75" x14ac:dyDescent="0.2">
      <c r="A517" s="45"/>
      <c r="B517" s="45"/>
      <c r="C517" s="45"/>
      <c r="D517" s="45"/>
      <c r="E517" s="45"/>
    </row>
    <row r="518" spans="1:5" ht="12.75" x14ac:dyDescent="0.2">
      <c r="A518" s="45"/>
      <c r="B518" s="45"/>
      <c r="C518" s="45"/>
      <c r="D518" s="45"/>
      <c r="E518" s="45"/>
    </row>
    <row r="519" spans="1:5" ht="12.75" x14ac:dyDescent="0.2">
      <c r="A519" s="45"/>
      <c r="B519" s="45"/>
      <c r="C519" s="45"/>
      <c r="D519" s="45"/>
      <c r="E519" s="45"/>
    </row>
    <row r="520" spans="1:5" ht="12.75" x14ac:dyDescent="0.2">
      <c r="A520" s="45"/>
      <c r="B520" s="45"/>
      <c r="C520" s="45"/>
      <c r="D520" s="45"/>
      <c r="E520" s="45"/>
    </row>
    <row r="521" spans="1:5" ht="12.75" x14ac:dyDescent="0.2">
      <c r="A521" s="45"/>
      <c r="B521" s="45"/>
      <c r="C521" s="45"/>
      <c r="D521" s="45"/>
      <c r="E521" s="45"/>
    </row>
    <row r="522" spans="1:5" ht="12.75" x14ac:dyDescent="0.2">
      <c r="A522" s="45"/>
      <c r="B522" s="45"/>
      <c r="C522" s="45"/>
      <c r="D522" s="45"/>
      <c r="E522" s="45"/>
    </row>
    <row r="523" spans="1:5" ht="12.75" x14ac:dyDescent="0.2">
      <c r="A523" s="45"/>
      <c r="B523" s="45"/>
      <c r="C523" s="45"/>
      <c r="D523" s="45"/>
      <c r="E523" s="45"/>
    </row>
    <row r="524" spans="1:5" ht="12.75" x14ac:dyDescent="0.2">
      <c r="A524" s="45"/>
      <c r="B524" s="45"/>
      <c r="C524" s="45"/>
      <c r="D524" s="45"/>
      <c r="E524" s="45"/>
    </row>
    <row r="525" spans="1:5" ht="12.75" x14ac:dyDescent="0.2">
      <c r="A525" s="45"/>
      <c r="B525" s="45"/>
      <c r="C525" s="45"/>
      <c r="D525" s="45"/>
      <c r="E525" s="45"/>
    </row>
    <row r="526" spans="1:5" ht="12.75" x14ac:dyDescent="0.2">
      <c r="A526" s="45"/>
      <c r="B526" s="45"/>
      <c r="C526" s="45"/>
      <c r="D526" s="45"/>
      <c r="E526" s="45"/>
    </row>
    <row r="527" spans="1:5" ht="12.75" x14ac:dyDescent="0.2">
      <c r="A527" s="45"/>
      <c r="B527" s="45"/>
      <c r="C527" s="45"/>
      <c r="D527" s="45"/>
      <c r="E527" s="45"/>
    </row>
    <row r="528" spans="1:5" ht="12.75" x14ac:dyDescent="0.2">
      <c r="A528" s="45"/>
      <c r="B528" s="45"/>
      <c r="C528" s="45"/>
      <c r="D528" s="45"/>
      <c r="E528" s="45"/>
    </row>
    <row r="529" spans="1:5" ht="12.75" x14ac:dyDescent="0.2">
      <c r="A529" s="45"/>
      <c r="B529" s="45"/>
      <c r="C529" s="45"/>
      <c r="D529" s="45"/>
      <c r="E529" s="45"/>
    </row>
    <row r="530" spans="1:5" ht="12.75" x14ac:dyDescent="0.2">
      <c r="A530" s="45"/>
      <c r="B530" s="45"/>
      <c r="C530" s="45"/>
      <c r="D530" s="45"/>
      <c r="E530" s="45"/>
    </row>
    <row r="531" spans="1:5" ht="12.75" x14ac:dyDescent="0.2">
      <c r="A531" s="45"/>
      <c r="B531" s="45"/>
      <c r="C531" s="45"/>
      <c r="D531" s="45"/>
      <c r="E531" s="45"/>
    </row>
    <row r="532" spans="1:5" ht="12.75" x14ac:dyDescent="0.2">
      <c r="A532" s="45"/>
      <c r="B532" s="45"/>
      <c r="C532" s="45"/>
      <c r="D532" s="45"/>
      <c r="E532" s="45"/>
    </row>
    <row r="533" spans="1:5" ht="12.75" x14ac:dyDescent="0.2">
      <c r="A533" s="45"/>
      <c r="B533" s="45"/>
      <c r="C533" s="45"/>
      <c r="D533" s="45"/>
      <c r="E533" s="45"/>
    </row>
    <row r="534" spans="1:5" ht="12.75" x14ac:dyDescent="0.2">
      <c r="A534" s="45"/>
      <c r="B534" s="45"/>
      <c r="C534" s="45"/>
      <c r="D534" s="45"/>
      <c r="E534" s="45"/>
    </row>
    <row r="535" spans="1:5" ht="12.75" x14ac:dyDescent="0.2">
      <c r="A535" s="45"/>
      <c r="B535" s="45"/>
      <c r="C535" s="45"/>
      <c r="D535" s="45"/>
      <c r="E535" s="45"/>
    </row>
    <row r="536" spans="1:5" ht="12.75" x14ac:dyDescent="0.2">
      <c r="A536" s="45"/>
      <c r="B536" s="45"/>
      <c r="C536" s="45"/>
      <c r="D536" s="45"/>
      <c r="E536" s="45"/>
    </row>
    <row r="537" spans="1:5" ht="12.75" x14ac:dyDescent="0.2">
      <c r="A537" s="45"/>
      <c r="B537" s="45"/>
      <c r="C537" s="45"/>
      <c r="D537" s="45"/>
      <c r="E537" s="45"/>
    </row>
    <row r="538" spans="1:5" ht="12.75" x14ac:dyDescent="0.2">
      <c r="A538" s="45"/>
      <c r="B538" s="45"/>
      <c r="C538" s="45"/>
      <c r="D538" s="45"/>
      <c r="E538" s="45"/>
    </row>
    <row r="539" spans="1:5" ht="12.75" x14ac:dyDescent="0.2">
      <c r="A539" s="45"/>
      <c r="B539" s="45"/>
      <c r="C539" s="45"/>
      <c r="D539" s="45"/>
      <c r="E539" s="45"/>
    </row>
    <row r="540" spans="1:5" ht="12.75" x14ac:dyDescent="0.2">
      <c r="A540" s="45"/>
      <c r="B540" s="45"/>
      <c r="C540" s="45"/>
      <c r="D540" s="45"/>
      <c r="E540" s="45"/>
    </row>
    <row r="541" spans="1:5" ht="12.75" x14ac:dyDescent="0.2">
      <c r="A541" s="45"/>
      <c r="B541" s="45"/>
      <c r="C541" s="45"/>
      <c r="D541" s="45"/>
      <c r="E541" s="45"/>
    </row>
    <row r="542" spans="1:5" ht="12.75" x14ac:dyDescent="0.2">
      <c r="A542" s="45"/>
      <c r="B542" s="45"/>
      <c r="C542" s="45"/>
      <c r="D542" s="45"/>
      <c r="E542" s="45"/>
    </row>
    <row r="543" spans="1:5" ht="12.75" x14ac:dyDescent="0.2">
      <c r="A543" s="45"/>
      <c r="B543" s="45"/>
      <c r="C543" s="45"/>
      <c r="D543" s="45"/>
      <c r="E543" s="45"/>
    </row>
    <row r="544" spans="1:5" ht="12.75" x14ac:dyDescent="0.2">
      <c r="A544" s="45"/>
      <c r="B544" s="45"/>
      <c r="C544" s="45"/>
      <c r="D544" s="45"/>
      <c r="E544" s="45"/>
    </row>
    <row r="545" spans="4:5" ht="12.75" x14ac:dyDescent="0.2">
      <c r="D545" s="45"/>
      <c r="E545" s="45"/>
    </row>
    <row r="546" spans="4:5" ht="12.75" x14ac:dyDescent="0.2">
      <c r="D546" s="45"/>
      <c r="E546" s="45"/>
    </row>
    <row r="547" spans="4:5" ht="12.75" x14ac:dyDescent="0.2"/>
    <row r="548" spans="4:5" ht="12.75" x14ac:dyDescent="0.2"/>
    <row r="549" spans="4:5" ht="12.75" x14ac:dyDescent="0.2"/>
    <row r="550" spans="4:5" ht="12.75" x14ac:dyDescent="0.2"/>
    <row r="551" spans="4:5" ht="12.75" x14ac:dyDescent="0.2"/>
    <row r="552" spans="4:5" ht="12.75" x14ac:dyDescent="0.2"/>
    <row r="553" spans="4:5" ht="12.75" x14ac:dyDescent="0.2"/>
    <row r="554" spans="4:5" ht="12.75" x14ac:dyDescent="0.2"/>
    <row r="555" spans="4:5" ht="12.75" x14ac:dyDescent="0.2"/>
    <row r="556" spans="4:5" ht="12.75" x14ac:dyDescent="0.2"/>
    <row r="557" spans="4:5" ht="12.75" x14ac:dyDescent="0.2"/>
    <row r="558" spans="4:5" ht="12.75" x14ac:dyDescent="0.2"/>
    <row r="559" spans="4:5" ht="12.75" x14ac:dyDescent="0.2"/>
    <row r="560" spans="4:5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</sheetData>
  <autoFilter ref="A3:I139" xr:uid="{266EEFC5-940E-4927-BE5E-D8677E3ACDF2}">
    <filterColumn colId="0">
      <iconFilter iconSet="3Arrows"/>
    </filterColumn>
  </autoFilter>
  <sortState ref="A94:E166">
    <sortCondition ref="B94:B166"/>
  </sortState>
  <mergeCells count="5">
    <mergeCell ref="A1:D1"/>
    <mergeCell ref="A2:D2"/>
    <mergeCell ref="A5:D5"/>
    <mergeCell ref="A27:D27"/>
    <mergeCell ref="A56:D56"/>
  </mergeCells>
  <hyperlinks>
    <hyperlink ref="F2" r:id="rId1" xr:uid="{D25E5B42-6F40-42DA-A98A-B311C4D2090B}"/>
    <hyperlink ref="F5" r:id="rId2" xr:uid="{D46BF35C-2F9F-43F3-A7FA-DD3EA0494648}"/>
    <hyperlink ref="F27" r:id="rId3" xr:uid="{434F58FF-6624-4B55-AE3C-9B7474DEE7B2}"/>
  </hyperlinks>
  <pageMargins left="0.7" right="0.7" top="0.75" bottom="0.75" header="0.3" footer="0.3"/>
  <pageSetup paperSize="9" orientation="portrait" verticalDpi="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G45"/>
  <sheetViews>
    <sheetView zoomScaleNormal="100" workbookViewId="0">
      <selection activeCell="B42" sqref="B42"/>
    </sheetView>
  </sheetViews>
  <sheetFormatPr defaultColWidth="8.85546875" defaultRowHeight="12.75" x14ac:dyDescent="0.2"/>
  <cols>
    <col min="2" max="2" width="10.42578125" customWidth="1"/>
    <col min="3" max="3" width="14" customWidth="1"/>
    <col min="4" max="4" width="11" customWidth="1"/>
    <col min="6" max="6" width="7.85546875" customWidth="1"/>
    <col min="7" max="7" width="9.7109375" style="7" customWidth="1"/>
  </cols>
  <sheetData>
    <row r="1" spans="1:7" ht="18" x14ac:dyDescent="0.25">
      <c r="A1" s="310" t="s">
        <v>65</v>
      </c>
      <c r="B1" s="311"/>
      <c r="C1" s="311"/>
      <c r="D1" s="311"/>
      <c r="E1" s="312"/>
    </row>
    <row r="2" spans="1:7" x14ac:dyDescent="0.2">
      <c r="A2" s="297" t="s">
        <v>61</v>
      </c>
      <c r="B2" s="297"/>
      <c r="C2" s="297"/>
      <c r="D2" s="297"/>
      <c r="E2" s="27"/>
      <c r="F2" s="19" t="s">
        <v>60</v>
      </c>
      <c r="G2" s="81" t="s">
        <v>125</v>
      </c>
    </row>
    <row r="3" spans="1:7" x14ac:dyDescent="0.2">
      <c r="A3" s="10" t="s">
        <v>6</v>
      </c>
      <c r="B3" s="10" t="s">
        <v>7</v>
      </c>
      <c r="C3" s="10" t="s">
        <v>11</v>
      </c>
      <c r="D3" s="10" t="s">
        <v>12</v>
      </c>
      <c r="E3" s="10" t="s">
        <v>10</v>
      </c>
      <c r="F3" s="80" t="s">
        <v>31</v>
      </c>
    </row>
    <row r="4" spans="1:7" x14ac:dyDescent="0.2">
      <c r="A4" s="88">
        <v>1</v>
      </c>
      <c r="B4" s="88">
        <v>42.3</v>
      </c>
      <c r="C4" s="5">
        <f t="shared" ref="C4:C23" si="0">D4/B4</f>
        <v>136000</v>
      </c>
      <c r="D4" s="6">
        <v>5752800</v>
      </c>
      <c r="E4" s="5">
        <v>8</v>
      </c>
      <c r="F4" s="5">
        <v>1</v>
      </c>
      <c r="G4" s="5">
        <f t="shared" ref="G4:G23" si="1">F4*D4</f>
        <v>5752800</v>
      </c>
    </row>
    <row r="5" spans="1:7" x14ac:dyDescent="0.2">
      <c r="A5" s="88">
        <v>1</v>
      </c>
      <c r="B5" s="88">
        <v>42.3</v>
      </c>
      <c r="C5" s="5">
        <f t="shared" si="0"/>
        <v>136000</v>
      </c>
      <c r="D5" s="56">
        <v>5752800</v>
      </c>
      <c r="E5" s="5">
        <v>7</v>
      </c>
      <c r="F5" s="5">
        <v>1</v>
      </c>
      <c r="G5" s="5">
        <f t="shared" si="1"/>
        <v>5752800</v>
      </c>
    </row>
    <row r="6" spans="1:7" x14ac:dyDescent="0.2">
      <c r="A6" s="88">
        <v>1</v>
      </c>
      <c r="B6" s="88">
        <v>42.3</v>
      </c>
      <c r="C6" s="5">
        <f t="shared" si="0"/>
        <v>136000</v>
      </c>
      <c r="D6" s="56">
        <v>5752800</v>
      </c>
      <c r="E6" s="5">
        <v>9</v>
      </c>
      <c r="F6" s="5">
        <v>1</v>
      </c>
      <c r="G6" s="5">
        <f t="shared" si="1"/>
        <v>5752800</v>
      </c>
    </row>
    <row r="7" spans="1:7" x14ac:dyDescent="0.2">
      <c r="A7" s="88">
        <v>1</v>
      </c>
      <c r="B7" s="88">
        <v>42.3</v>
      </c>
      <c r="C7" s="5">
        <f t="shared" si="0"/>
        <v>134000</v>
      </c>
      <c r="D7" s="56">
        <v>5668200</v>
      </c>
      <c r="E7" s="5">
        <v>6</v>
      </c>
      <c r="F7" s="5">
        <v>1</v>
      </c>
      <c r="G7" s="5">
        <f t="shared" si="1"/>
        <v>5668200</v>
      </c>
    </row>
    <row r="8" spans="1:7" x14ac:dyDescent="0.2">
      <c r="A8" s="88">
        <v>1</v>
      </c>
      <c r="B8" s="88">
        <v>42.5</v>
      </c>
      <c r="C8" s="5">
        <f t="shared" si="0"/>
        <v>154000</v>
      </c>
      <c r="D8" s="56">
        <v>6545000</v>
      </c>
      <c r="E8" s="5">
        <v>5</v>
      </c>
      <c r="F8" s="5">
        <v>1</v>
      </c>
      <c r="G8" s="5">
        <f t="shared" si="1"/>
        <v>6545000</v>
      </c>
    </row>
    <row r="9" spans="1:7" x14ac:dyDescent="0.2">
      <c r="A9" s="88">
        <v>1</v>
      </c>
      <c r="B9" s="96" t="s">
        <v>107</v>
      </c>
      <c r="C9" s="5">
        <f t="shared" si="0"/>
        <v>134000</v>
      </c>
      <c r="D9" s="56">
        <v>5695000</v>
      </c>
      <c r="E9" s="5">
        <v>4</v>
      </c>
      <c r="F9" s="5">
        <v>1</v>
      </c>
      <c r="G9" s="5">
        <f t="shared" si="1"/>
        <v>5695000</v>
      </c>
    </row>
    <row r="10" spans="1:7" x14ac:dyDescent="0.2">
      <c r="A10" s="88">
        <v>1</v>
      </c>
      <c r="B10" s="96" t="s">
        <v>107</v>
      </c>
      <c r="C10" s="5">
        <f t="shared" si="0"/>
        <v>136000</v>
      </c>
      <c r="D10" s="56">
        <v>5780000</v>
      </c>
      <c r="E10" s="5">
        <v>9</v>
      </c>
      <c r="F10" s="5">
        <v>1</v>
      </c>
      <c r="G10" s="5">
        <f t="shared" si="1"/>
        <v>5780000</v>
      </c>
    </row>
    <row r="11" spans="1:7" x14ac:dyDescent="0.2">
      <c r="A11" s="88">
        <v>1</v>
      </c>
      <c r="B11" s="96" t="s">
        <v>107</v>
      </c>
      <c r="C11" s="5">
        <f t="shared" si="0"/>
        <v>136000</v>
      </c>
      <c r="D11" s="56">
        <v>5780000</v>
      </c>
      <c r="E11" s="5">
        <v>8</v>
      </c>
      <c r="F11" s="5">
        <v>1</v>
      </c>
      <c r="G11" s="5">
        <f t="shared" si="1"/>
        <v>5780000</v>
      </c>
    </row>
    <row r="12" spans="1:7" x14ac:dyDescent="0.2">
      <c r="A12" s="88">
        <v>1</v>
      </c>
      <c r="B12" s="88">
        <v>43.1</v>
      </c>
      <c r="C12" s="5">
        <f t="shared" si="0"/>
        <v>133360</v>
      </c>
      <c r="D12" s="56">
        <v>5747816</v>
      </c>
      <c r="E12" s="5">
        <v>12</v>
      </c>
      <c r="F12" s="5">
        <v>1</v>
      </c>
      <c r="G12" s="5">
        <f t="shared" si="1"/>
        <v>5747816</v>
      </c>
    </row>
    <row r="13" spans="1:7" x14ac:dyDescent="0.2">
      <c r="A13" s="88">
        <v>1</v>
      </c>
      <c r="B13" s="88">
        <v>43.1</v>
      </c>
      <c r="C13" s="5">
        <f t="shared" si="0"/>
        <v>138000</v>
      </c>
      <c r="D13" s="56">
        <v>5947800</v>
      </c>
      <c r="E13" s="5">
        <v>13</v>
      </c>
      <c r="F13" s="5">
        <v>1</v>
      </c>
      <c r="G13" s="5">
        <f t="shared" si="1"/>
        <v>5947800</v>
      </c>
    </row>
    <row r="14" spans="1:7" x14ac:dyDescent="0.2">
      <c r="A14" s="88">
        <v>1</v>
      </c>
      <c r="B14" s="88">
        <v>43.1</v>
      </c>
      <c r="C14" s="5">
        <f t="shared" si="0"/>
        <v>137000</v>
      </c>
      <c r="D14" s="56">
        <v>5904700</v>
      </c>
      <c r="E14" s="5">
        <v>11</v>
      </c>
      <c r="F14" s="5">
        <v>1</v>
      </c>
      <c r="G14" s="5">
        <f t="shared" si="1"/>
        <v>5904700</v>
      </c>
    </row>
    <row r="15" spans="1:7" x14ac:dyDescent="0.2">
      <c r="A15" s="88">
        <v>1</v>
      </c>
      <c r="B15" s="88">
        <v>43.1</v>
      </c>
      <c r="C15" s="5">
        <f t="shared" si="0"/>
        <v>137000</v>
      </c>
      <c r="D15" s="56">
        <v>5904700</v>
      </c>
      <c r="E15" s="5">
        <v>10</v>
      </c>
      <c r="F15" s="5">
        <v>1</v>
      </c>
      <c r="G15" s="5">
        <f t="shared" si="1"/>
        <v>5904700</v>
      </c>
    </row>
    <row r="16" spans="1:7" x14ac:dyDescent="0.2">
      <c r="A16" s="88">
        <v>1</v>
      </c>
      <c r="B16" s="88">
        <v>43.7</v>
      </c>
      <c r="C16" s="5">
        <f t="shared" si="0"/>
        <v>137000</v>
      </c>
      <c r="D16" s="56">
        <v>5986900</v>
      </c>
      <c r="E16" s="5">
        <v>10</v>
      </c>
      <c r="F16" s="5">
        <v>1</v>
      </c>
      <c r="G16" s="5">
        <f t="shared" si="1"/>
        <v>5986900</v>
      </c>
    </row>
    <row r="17" spans="1:7" x14ac:dyDescent="0.2">
      <c r="A17" s="88">
        <v>1</v>
      </c>
      <c r="B17" s="88">
        <v>43.7</v>
      </c>
      <c r="C17" s="5">
        <f t="shared" si="0"/>
        <v>133420</v>
      </c>
      <c r="D17" s="56">
        <v>5830454</v>
      </c>
      <c r="E17" s="5">
        <v>12</v>
      </c>
      <c r="F17" s="5">
        <v>1</v>
      </c>
      <c r="G17" s="5">
        <f t="shared" si="1"/>
        <v>5830454</v>
      </c>
    </row>
    <row r="18" spans="1:7" x14ac:dyDescent="0.2">
      <c r="A18" s="88">
        <v>1</v>
      </c>
      <c r="B18" s="88">
        <v>43.7</v>
      </c>
      <c r="C18" s="5">
        <f t="shared" si="0"/>
        <v>137000</v>
      </c>
      <c r="D18" s="56">
        <v>5986900</v>
      </c>
      <c r="E18" s="5">
        <v>11</v>
      </c>
      <c r="F18" s="5">
        <v>1</v>
      </c>
      <c r="G18" s="5">
        <f t="shared" si="1"/>
        <v>5986900</v>
      </c>
    </row>
    <row r="19" spans="1:7" x14ac:dyDescent="0.2">
      <c r="A19" s="88">
        <v>1</v>
      </c>
      <c r="B19" s="88">
        <v>43.7</v>
      </c>
      <c r="C19" s="5">
        <f t="shared" si="0"/>
        <v>138000</v>
      </c>
      <c r="D19" s="56">
        <v>6030600</v>
      </c>
      <c r="E19" s="5">
        <v>13</v>
      </c>
      <c r="F19" s="5">
        <v>1</v>
      </c>
      <c r="G19" s="5">
        <f t="shared" si="1"/>
        <v>6030600</v>
      </c>
    </row>
    <row r="20" spans="1:7" x14ac:dyDescent="0.2">
      <c r="A20" s="88">
        <v>2</v>
      </c>
      <c r="B20" s="88">
        <v>55</v>
      </c>
      <c r="C20" s="5">
        <f t="shared" si="0"/>
        <v>136000</v>
      </c>
      <c r="D20" s="56">
        <v>7480000</v>
      </c>
      <c r="E20" s="5">
        <v>13</v>
      </c>
      <c r="F20" s="5">
        <v>1</v>
      </c>
      <c r="G20" s="5">
        <f t="shared" si="1"/>
        <v>7480000</v>
      </c>
    </row>
    <row r="21" spans="1:7" x14ac:dyDescent="0.2">
      <c r="A21" s="88">
        <v>2</v>
      </c>
      <c r="B21" s="88">
        <v>55</v>
      </c>
      <c r="C21" s="5">
        <f t="shared" si="0"/>
        <v>136000</v>
      </c>
      <c r="D21" s="56">
        <v>7480000</v>
      </c>
      <c r="E21" s="5">
        <v>12</v>
      </c>
      <c r="F21" s="5">
        <v>1</v>
      </c>
      <c r="G21" s="5">
        <f t="shared" si="1"/>
        <v>7480000</v>
      </c>
    </row>
    <row r="22" spans="1:7" x14ac:dyDescent="0.2">
      <c r="A22" s="88">
        <v>2</v>
      </c>
      <c r="B22" s="88">
        <v>55</v>
      </c>
      <c r="C22" s="5">
        <f t="shared" si="0"/>
        <v>134000</v>
      </c>
      <c r="D22" s="56">
        <v>7370000</v>
      </c>
      <c r="E22" s="5">
        <v>11</v>
      </c>
      <c r="F22" s="5">
        <v>1</v>
      </c>
      <c r="G22" s="5">
        <f t="shared" si="1"/>
        <v>7370000</v>
      </c>
    </row>
    <row r="23" spans="1:7" x14ac:dyDescent="0.2">
      <c r="A23" s="88">
        <v>2</v>
      </c>
      <c r="B23" s="88">
        <v>55</v>
      </c>
      <c r="C23" s="5">
        <f t="shared" si="0"/>
        <v>136000</v>
      </c>
      <c r="D23" s="56">
        <v>7480000</v>
      </c>
      <c r="E23" s="5">
        <v>12</v>
      </c>
      <c r="F23" s="5">
        <v>1</v>
      </c>
      <c r="G23" s="5">
        <f t="shared" si="1"/>
        <v>7480000</v>
      </c>
    </row>
    <row r="24" spans="1:7" x14ac:dyDescent="0.2">
      <c r="A24" s="297" t="s">
        <v>62</v>
      </c>
      <c r="B24" s="297"/>
      <c r="C24" s="297"/>
      <c r="D24" s="297"/>
      <c r="E24" s="27"/>
      <c r="F24" s="119" t="s">
        <v>60</v>
      </c>
      <c r="G24" s="81" t="s">
        <v>126</v>
      </c>
    </row>
    <row r="25" spans="1:7" x14ac:dyDescent="0.2">
      <c r="A25" s="10" t="s">
        <v>6</v>
      </c>
      <c r="B25" s="10" t="s">
        <v>7</v>
      </c>
      <c r="C25" s="10" t="s">
        <v>11</v>
      </c>
      <c r="D25" s="10" t="s">
        <v>12</v>
      </c>
      <c r="E25" s="10" t="s">
        <v>10</v>
      </c>
      <c r="F25" s="80" t="s">
        <v>31</v>
      </c>
    </row>
    <row r="26" spans="1:7" x14ac:dyDescent="0.2">
      <c r="A26" s="88">
        <v>1</v>
      </c>
      <c r="B26" s="88">
        <v>42.3</v>
      </c>
      <c r="C26" s="5">
        <f t="shared" ref="C26:C45" si="2">D26/B26</f>
        <v>136000</v>
      </c>
      <c r="D26" s="26">
        <v>5752800</v>
      </c>
      <c r="E26" s="5">
        <v>8</v>
      </c>
      <c r="F26" s="5">
        <v>1</v>
      </c>
      <c r="G26" s="5">
        <f t="shared" ref="G26:G45" si="3">F26*D26</f>
        <v>5752800</v>
      </c>
    </row>
    <row r="27" spans="1:7" x14ac:dyDescent="0.2">
      <c r="A27" s="88">
        <v>1</v>
      </c>
      <c r="B27" s="88">
        <v>42.3</v>
      </c>
      <c r="C27" s="5">
        <f t="shared" si="2"/>
        <v>136000</v>
      </c>
      <c r="D27" s="78">
        <v>5752800</v>
      </c>
      <c r="E27" s="5">
        <v>9</v>
      </c>
      <c r="F27" s="5">
        <v>1</v>
      </c>
      <c r="G27" s="5">
        <f t="shared" si="3"/>
        <v>5752800</v>
      </c>
    </row>
    <row r="28" spans="1:7" x14ac:dyDescent="0.2">
      <c r="A28" s="88">
        <v>1</v>
      </c>
      <c r="B28" s="88">
        <v>42.3</v>
      </c>
      <c r="C28" s="5">
        <f t="shared" si="2"/>
        <v>136000</v>
      </c>
      <c r="D28" s="78">
        <v>5752800</v>
      </c>
      <c r="E28" s="5">
        <v>7</v>
      </c>
      <c r="F28" s="5">
        <v>1</v>
      </c>
      <c r="G28" s="5">
        <f t="shared" si="3"/>
        <v>5752800</v>
      </c>
    </row>
    <row r="29" spans="1:7" x14ac:dyDescent="0.2">
      <c r="A29" s="88">
        <v>1</v>
      </c>
      <c r="B29" s="88">
        <v>42.3</v>
      </c>
      <c r="C29" s="5">
        <f t="shared" si="2"/>
        <v>134000</v>
      </c>
      <c r="D29" s="78">
        <v>5668200</v>
      </c>
      <c r="E29" s="5">
        <v>6</v>
      </c>
      <c r="F29" s="5">
        <v>1</v>
      </c>
      <c r="G29" s="5">
        <f t="shared" si="3"/>
        <v>5668200</v>
      </c>
    </row>
    <row r="30" spans="1:7" x14ac:dyDescent="0.2">
      <c r="A30" s="88">
        <v>1</v>
      </c>
      <c r="B30" s="88">
        <v>42.5</v>
      </c>
      <c r="C30" s="5">
        <f t="shared" si="2"/>
        <v>154000</v>
      </c>
      <c r="D30" s="78">
        <v>6545000</v>
      </c>
      <c r="E30" s="5">
        <v>5</v>
      </c>
      <c r="F30" s="5">
        <v>1</v>
      </c>
      <c r="G30" s="5">
        <f t="shared" si="3"/>
        <v>6545000</v>
      </c>
    </row>
    <row r="31" spans="1:7" x14ac:dyDescent="0.2">
      <c r="A31" s="88">
        <v>1</v>
      </c>
      <c r="B31" s="88">
        <v>42.5</v>
      </c>
      <c r="C31" s="5">
        <f t="shared" si="2"/>
        <v>134000</v>
      </c>
      <c r="D31" s="78">
        <v>5695000</v>
      </c>
      <c r="E31" s="5">
        <v>4</v>
      </c>
      <c r="F31" s="5">
        <v>1</v>
      </c>
      <c r="G31" s="5">
        <f t="shared" si="3"/>
        <v>5695000</v>
      </c>
    </row>
    <row r="32" spans="1:7" x14ac:dyDescent="0.2">
      <c r="A32" s="88">
        <v>1</v>
      </c>
      <c r="B32" s="88">
        <v>42.5</v>
      </c>
      <c r="C32" s="5">
        <f t="shared" si="2"/>
        <v>136000</v>
      </c>
      <c r="D32" s="78">
        <v>5780000</v>
      </c>
      <c r="E32" s="5">
        <v>8</v>
      </c>
      <c r="F32" s="5">
        <v>1</v>
      </c>
      <c r="G32" s="5">
        <f t="shared" si="3"/>
        <v>5780000</v>
      </c>
    </row>
    <row r="33" spans="1:7" x14ac:dyDescent="0.2">
      <c r="A33" s="88">
        <v>1</v>
      </c>
      <c r="B33" s="88">
        <v>42.5</v>
      </c>
      <c r="C33" s="5">
        <f t="shared" si="2"/>
        <v>136000</v>
      </c>
      <c r="D33" s="78">
        <v>5780000</v>
      </c>
      <c r="E33" s="5">
        <v>9</v>
      </c>
      <c r="F33" s="5">
        <v>1</v>
      </c>
      <c r="G33" s="5">
        <f t="shared" si="3"/>
        <v>5780000</v>
      </c>
    </row>
    <row r="34" spans="1:7" x14ac:dyDescent="0.2">
      <c r="A34" s="88">
        <v>1</v>
      </c>
      <c r="B34" s="88">
        <v>43.1</v>
      </c>
      <c r="C34" s="5">
        <f t="shared" si="2"/>
        <v>138000</v>
      </c>
      <c r="D34" s="78">
        <v>5947800</v>
      </c>
      <c r="E34" s="5">
        <v>13</v>
      </c>
      <c r="F34" s="5">
        <v>1</v>
      </c>
      <c r="G34" s="5">
        <f t="shared" si="3"/>
        <v>5947800</v>
      </c>
    </row>
    <row r="35" spans="1:7" x14ac:dyDescent="0.2">
      <c r="A35" s="88">
        <v>1</v>
      </c>
      <c r="B35" s="88">
        <v>43.1</v>
      </c>
      <c r="C35" s="5">
        <f t="shared" si="2"/>
        <v>137000</v>
      </c>
      <c r="D35" s="78">
        <v>5904700</v>
      </c>
      <c r="E35" s="5">
        <v>10</v>
      </c>
      <c r="F35" s="5">
        <v>1</v>
      </c>
      <c r="G35" s="5">
        <f t="shared" si="3"/>
        <v>5904700</v>
      </c>
    </row>
    <row r="36" spans="1:7" x14ac:dyDescent="0.2">
      <c r="A36" s="88">
        <v>1</v>
      </c>
      <c r="B36" s="88">
        <v>43.1</v>
      </c>
      <c r="C36" s="5">
        <f t="shared" si="2"/>
        <v>137000</v>
      </c>
      <c r="D36" s="78">
        <v>5904700</v>
      </c>
      <c r="E36" s="5">
        <v>11</v>
      </c>
      <c r="F36" s="5">
        <v>1</v>
      </c>
      <c r="G36" s="5">
        <f t="shared" si="3"/>
        <v>5904700</v>
      </c>
    </row>
    <row r="37" spans="1:7" x14ac:dyDescent="0.2">
      <c r="A37" s="88">
        <v>1</v>
      </c>
      <c r="B37" s="88">
        <v>43.1</v>
      </c>
      <c r="C37" s="5">
        <f t="shared" si="2"/>
        <v>133360</v>
      </c>
      <c r="D37" s="78">
        <v>5747816</v>
      </c>
      <c r="E37" s="5">
        <v>12</v>
      </c>
      <c r="F37" s="5">
        <v>1</v>
      </c>
      <c r="G37" s="5">
        <f t="shared" si="3"/>
        <v>5747816</v>
      </c>
    </row>
    <row r="38" spans="1:7" x14ac:dyDescent="0.2">
      <c r="A38" s="88">
        <v>1</v>
      </c>
      <c r="B38" s="88">
        <v>43.7</v>
      </c>
      <c r="C38" s="5">
        <f t="shared" si="2"/>
        <v>137000</v>
      </c>
      <c r="D38" s="78">
        <v>5986900</v>
      </c>
      <c r="E38" s="5">
        <v>11</v>
      </c>
      <c r="F38" s="5">
        <v>1</v>
      </c>
      <c r="G38" s="5">
        <f t="shared" si="3"/>
        <v>5986900</v>
      </c>
    </row>
    <row r="39" spans="1:7" x14ac:dyDescent="0.2">
      <c r="A39" s="88">
        <v>1</v>
      </c>
      <c r="B39" s="88">
        <v>43.7</v>
      </c>
      <c r="C39" s="5">
        <f t="shared" si="2"/>
        <v>137000</v>
      </c>
      <c r="D39" s="56">
        <v>5986900</v>
      </c>
      <c r="E39" s="5">
        <v>10</v>
      </c>
      <c r="F39" s="5">
        <v>1</v>
      </c>
      <c r="G39" s="5">
        <f t="shared" si="3"/>
        <v>5986900</v>
      </c>
    </row>
    <row r="40" spans="1:7" x14ac:dyDescent="0.2">
      <c r="A40" s="88">
        <v>1</v>
      </c>
      <c r="B40" s="88">
        <v>43.7</v>
      </c>
      <c r="C40" s="5">
        <f t="shared" si="2"/>
        <v>133420</v>
      </c>
      <c r="D40" s="56">
        <v>5830454</v>
      </c>
      <c r="E40" s="5">
        <v>12</v>
      </c>
      <c r="F40" s="5">
        <v>1</v>
      </c>
      <c r="G40" s="5">
        <f t="shared" si="3"/>
        <v>5830454</v>
      </c>
    </row>
    <row r="41" spans="1:7" x14ac:dyDescent="0.2">
      <c r="A41" s="88">
        <v>1</v>
      </c>
      <c r="B41" s="88">
        <v>43.7</v>
      </c>
      <c r="C41" s="5">
        <f t="shared" si="2"/>
        <v>138000</v>
      </c>
      <c r="D41" s="56">
        <v>6030600</v>
      </c>
      <c r="E41" s="5">
        <v>13</v>
      </c>
      <c r="F41" s="5">
        <v>1</v>
      </c>
      <c r="G41" s="5">
        <f t="shared" si="3"/>
        <v>6030600</v>
      </c>
    </row>
    <row r="42" spans="1:7" x14ac:dyDescent="0.2">
      <c r="A42" s="88">
        <v>2</v>
      </c>
      <c r="B42" s="97">
        <v>55</v>
      </c>
      <c r="C42" s="5">
        <f t="shared" si="2"/>
        <v>136000</v>
      </c>
      <c r="D42" s="78">
        <v>7480000</v>
      </c>
      <c r="E42" s="5">
        <v>12</v>
      </c>
      <c r="F42" s="5">
        <v>1</v>
      </c>
      <c r="G42" s="5">
        <f t="shared" si="3"/>
        <v>7480000</v>
      </c>
    </row>
    <row r="43" spans="1:7" x14ac:dyDescent="0.2">
      <c r="A43" s="88">
        <v>2</v>
      </c>
      <c r="B43" s="88">
        <v>55</v>
      </c>
      <c r="C43" s="5">
        <f t="shared" si="2"/>
        <v>136000</v>
      </c>
      <c r="D43" s="78">
        <v>7480000</v>
      </c>
      <c r="E43" s="5">
        <v>12</v>
      </c>
      <c r="F43" s="5">
        <v>1</v>
      </c>
      <c r="G43" s="5">
        <f t="shared" si="3"/>
        <v>7480000</v>
      </c>
    </row>
    <row r="44" spans="1:7" x14ac:dyDescent="0.2">
      <c r="A44" s="88">
        <v>2</v>
      </c>
      <c r="B44" s="88">
        <v>55</v>
      </c>
      <c r="C44" s="5">
        <f t="shared" si="2"/>
        <v>134000</v>
      </c>
      <c r="D44" s="78">
        <v>7370000</v>
      </c>
      <c r="E44" s="5">
        <v>11</v>
      </c>
      <c r="F44" s="5">
        <v>1</v>
      </c>
      <c r="G44" s="5">
        <f t="shared" si="3"/>
        <v>7370000</v>
      </c>
    </row>
    <row r="45" spans="1:7" x14ac:dyDescent="0.2">
      <c r="A45" s="88">
        <v>2</v>
      </c>
      <c r="B45" s="88">
        <v>55</v>
      </c>
      <c r="C45" s="5">
        <f t="shared" si="2"/>
        <v>136000</v>
      </c>
      <c r="D45" s="78">
        <v>7480000</v>
      </c>
      <c r="E45" s="5">
        <v>13</v>
      </c>
      <c r="F45" s="5">
        <v>1</v>
      </c>
      <c r="G45" s="5">
        <f t="shared" si="3"/>
        <v>7480000</v>
      </c>
    </row>
  </sheetData>
  <autoFilter ref="A3:G63" xr:uid="{00000000-0009-0000-0000-000008000000}">
    <filterColumn colId="6">
      <iconFilter iconSet="3Arrows"/>
    </filterColumn>
    <sortState ref="A4:G48">
      <sortCondition ref="B4:B48"/>
    </sortState>
  </autoFilter>
  <sortState ref="A4:G31">
    <sortCondition ref="B4:B31"/>
  </sortState>
  <mergeCells count="3">
    <mergeCell ref="A1:E1"/>
    <mergeCell ref="A2:D2"/>
    <mergeCell ref="A24:D24"/>
  </mergeCells>
  <hyperlinks>
    <hyperlink ref="G2" r:id="rId1" xr:uid="{2C826C68-57B1-4CA5-AED6-18636AF221C1}"/>
    <hyperlink ref="G24" r:id="rId2" xr:uid="{56449C3D-9584-4BED-B839-6F0D4BB51655}"/>
  </hyperlinks>
  <pageMargins left="0.7" right="0.7" top="0.75" bottom="0.75" header="0.3" footer="0.3"/>
  <pageSetup paperSize="9" orientation="portrait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N280"/>
  <sheetViews>
    <sheetView zoomScaleNormal="100" workbookViewId="0">
      <selection activeCell="E21" sqref="E21"/>
    </sheetView>
  </sheetViews>
  <sheetFormatPr defaultColWidth="8.85546875" defaultRowHeight="12.75" x14ac:dyDescent="0.2"/>
  <cols>
    <col min="1" max="2" width="8.85546875" style="20"/>
    <col min="3" max="3" width="11.42578125" style="20" customWidth="1"/>
    <col min="4" max="4" width="11.85546875" style="233" customWidth="1"/>
    <col min="5" max="5" width="12.42578125" style="46" customWidth="1"/>
    <col min="6" max="6" width="5.42578125" style="45" customWidth="1"/>
    <col min="7" max="7" width="12.85546875" style="45" customWidth="1"/>
    <col min="13" max="13" width="13.42578125" customWidth="1"/>
    <col min="14" max="14" width="17" customWidth="1"/>
  </cols>
  <sheetData>
    <row r="1" spans="1:14" ht="18" x14ac:dyDescent="0.25">
      <c r="A1" s="316" t="s">
        <v>296</v>
      </c>
      <c r="B1" s="317"/>
      <c r="C1" s="317"/>
      <c r="D1" s="317"/>
      <c r="E1" s="318"/>
    </row>
    <row r="2" spans="1:14" ht="12.75" customHeight="1" x14ac:dyDescent="0.2">
      <c r="A2" s="262" t="s">
        <v>64</v>
      </c>
      <c r="B2" s="263"/>
      <c r="C2" s="263"/>
      <c r="D2" s="263"/>
      <c r="E2" s="264"/>
      <c r="M2" s="28"/>
      <c r="N2" s="7"/>
    </row>
    <row r="3" spans="1:14" ht="12.75" customHeight="1" x14ac:dyDescent="0.2">
      <c r="A3" s="110" t="s">
        <v>6</v>
      </c>
      <c r="B3" s="110" t="s">
        <v>23</v>
      </c>
      <c r="C3" s="111" t="s">
        <v>66</v>
      </c>
      <c r="D3" s="379" t="s">
        <v>12</v>
      </c>
      <c r="E3" s="110" t="s">
        <v>10</v>
      </c>
      <c r="F3" s="107" t="s">
        <v>94</v>
      </c>
      <c r="M3" s="28"/>
      <c r="N3" s="7"/>
    </row>
    <row r="4" spans="1:14" ht="12.75" customHeight="1" x14ac:dyDescent="0.2">
      <c r="A4" s="83">
        <v>1</v>
      </c>
      <c r="B4" s="36">
        <v>32.4</v>
      </c>
      <c r="C4" s="35">
        <f>D4/B4</f>
        <v>200875.92592592593</v>
      </c>
      <c r="D4" s="236">
        <v>6508380</v>
      </c>
      <c r="E4" s="36">
        <v>2</v>
      </c>
      <c r="F4" s="36">
        <v>1</v>
      </c>
      <c r="G4" s="56">
        <f>F4*D4</f>
        <v>6508380</v>
      </c>
      <c r="M4" s="28"/>
      <c r="N4" s="7"/>
    </row>
    <row r="5" spans="1:14" x14ac:dyDescent="0.2">
      <c r="A5" s="83">
        <v>1</v>
      </c>
      <c r="B5" s="36">
        <v>32.4</v>
      </c>
      <c r="C5" s="35">
        <f>D5/B5</f>
        <v>202874.69135802469</v>
      </c>
      <c r="D5" s="236">
        <v>6573140</v>
      </c>
      <c r="E5" s="36">
        <v>3</v>
      </c>
      <c r="F5" s="36">
        <v>1</v>
      </c>
      <c r="G5" s="56">
        <f t="shared" ref="G5:G68" si="0">F5*D5</f>
        <v>6573140</v>
      </c>
      <c r="M5" s="28"/>
      <c r="N5" s="7"/>
    </row>
    <row r="6" spans="1:14" ht="12.75" customHeight="1" x14ac:dyDescent="0.2">
      <c r="A6" s="83">
        <v>1</v>
      </c>
      <c r="B6" s="36">
        <v>32.4</v>
      </c>
      <c r="C6" s="35">
        <f>D6/B6</f>
        <v>206872.22222222222</v>
      </c>
      <c r="D6" s="236">
        <v>6702660</v>
      </c>
      <c r="E6" s="36">
        <v>4</v>
      </c>
      <c r="F6" s="36">
        <v>1</v>
      </c>
      <c r="G6" s="56">
        <f t="shared" si="0"/>
        <v>6702660</v>
      </c>
      <c r="M6" s="28"/>
      <c r="N6" s="7"/>
    </row>
    <row r="7" spans="1:14" ht="12.75" customHeight="1" x14ac:dyDescent="0.2">
      <c r="A7" s="83">
        <v>1</v>
      </c>
      <c r="B7" s="36">
        <v>32.4</v>
      </c>
      <c r="C7" s="35">
        <f>D7/B7</f>
        <v>208870.98765432098</v>
      </c>
      <c r="D7" s="236">
        <v>6767420</v>
      </c>
      <c r="E7" s="36">
        <v>5</v>
      </c>
      <c r="F7" s="36">
        <v>1</v>
      </c>
      <c r="G7" s="56">
        <f t="shared" si="0"/>
        <v>6767420</v>
      </c>
      <c r="M7" s="28"/>
      <c r="N7" s="7"/>
    </row>
    <row r="8" spans="1:14" x14ac:dyDescent="0.2">
      <c r="A8" s="83">
        <v>1</v>
      </c>
      <c r="B8" s="36">
        <v>35.93</v>
      </c>
      <c r="C8" s="36">
        <f t="shared" ref="C8:C75" si="1">D8/B8</f>
        <v>188000</v>
      </c>
      <c r="D8" s="236">
        <v>6754840</v>
      </c>
      <c r="E8" s="36">
        <v>4</v>
      </c>
      <c r="F8" s="36">
        <v>1</v>
      </c>
      <c r="G8" s="56">
        <f t="shared" si="0"/>
        <v>6754840</v>
      </c>
      <c r="M8" s="28"/>
      <c r="N8" s="7"/>
    </row>
    <row r="9" spans="1:14" ht="12.75" customHeight="1" x14ac:dyDescent="0.2">
      <c r="A9" s="83">
        <v>1</v>
      </c>
      <c r="B9" s="36">
        <v>35.93</v>
      </c>
      <c r="C9" s="36">
        <f t="shared" si="1"/>
        <v>188000</v>
      </c>
      <c r="D9" s="236">
        <v>6754840</v>
      </c>
      <c r="E9" s="36">
        <v>5</v>
      </c>
      <c r="F9" s="36">
        <v>1</v>
      </c>
      <c r="G9" s="56">
        <f t="shared" si="0"/>
        <v>6754840</v>
      </c>
      <c r="M9" s="28"/>
      <c r="N9" s="7"/>
    </row>
    <row r="10" spans="1:14" ht="12.75" customHeight="1" x14ac:dyDescent="0.2">
      <c r="A10" s="83">
        <v>1</v>
      </c>
      <c r="B10" s="36">
        <v>35.93</v>
      </c>
      <c r="C10" s="36">
        <f t="shared" si="1"/>
        <v>191000</v>
      </c>
      <c r="D10" s="236">
        <v>6862630</v>
      </c>
      <c r="E10" s="36">
        <v>12</v>
      </c>
      <c r="F10" s="36">
        <v>1</v>
      </c>
      <c r="G10" s="56">
        <f t="shared" si="0"/>
        <v>6862630</v>
      </c>
      <c r="M10" s="28"/>
      <c r="N10" s="7"/>
    </row>
    <row r="11" spans="1:14" ht="12.75" customHeight="1" x14ac:dyDescent="0.2">
      <c r="A11" s="83">
        <v>1</v>
      </c>
      <c r="B11" s="36">
        <v>35.93</v>
      </c>
      <c r="C11" s="36">
        <f t="shared" si="1"/>
        <v>191000</v>
      </c>
      <c r="D11" s="236">
        <v>6862630</v>
      </c>
      <c r="E11" s="36">
        <v>11</v>
      </c>
      <c r="F11" s="36">
        <v>1</v>
      </c>
      <c r="G11" s="56">
        <f t="shared" si="0"/>
        <v>6862630</v>
      </c>
      <c r="M11" s="28"/>
      <c r="N11" s="7"/>
    </row>
    <row r="12" spans="1:14" ht="12.75" customHeight="1" x14ac:dyDescent="0.2">
      <c r="A12" s="83">
        <v>1</v>
      </c>
      <c r="B12" s="36">
        <v>35.93</v>
      </c>
      <c r="C12" s="36">
        <f t="shared" si="1"/>
        <v>191000</v>
      </c>
      <c r="D12" s="236">
        <v>6862630</v>
      </c>
      <c r="E12" s="36">
        <v>10</v>
      </c>
      <c r="F12" s="36">
        <v>1</v>
      </c>
      <c r="G12" s="56">
        <f t="shared" si="0"/>
        <v>6862630</v>
      </c>
      <c r="M12" s="28"/>
      <c r="N12" s="7"/>
    </row>
    <row r="13" spans="1:14" ht="12.75" customHeight="1" x14ac:dyDescent="0.2">
      <c r="A13" s="83">
        <v>1</v>
      </c>
      <c r="B13" s="36">
        <v>35.93</v>
      </c>
      <c r="C13" s="36">
        <f t="shared" si="1"/>
        <v>191000</v>
      </c>
      <c r="D13" s="236">
        <v>6862630</v>
      </c>
      <c r="E13" s="36">
        <v>9</v>
      </c>
      <c r="F13" s="36">
        <v>1</v>
      </c>
      <c r="G13" s="56">
        <f t="shared" si="0"/>
        <v>6862630</v>
      </c>
      <c r="M13" s="28"/>
      <c r="N13" s="7"/>
    </row>
    <row r="14" spans="1:14" ht="12.75" customHeight="1" x14ac:dyDescent="0.2">
      <c r="A14" s="83">
        <v>1</v>
      </c>
      <c r="B14" s="36">
        <v>35.93</v>
      </c>
      <c r="C14" s="36">
        <f t="shared" si="1"/>
        <v>194000</v>
      </c>
      <c r="D14" s="236">
        <v>6970420</v>
      </c>
      <c r="E14" s="36">
        <v>13</v>
      </c>
      <c r="F14" s="36">
        <v>1</v>
      </c>
      <c r="G14" s="56">
        <f t="shared" si="0"/>
        <v>6970420</v>
      </c>
      <c r="M14" s="28"/>
      <c r="N14" s="7"/>
    </row>
    <row r="15" spans="1:14" ht="12.75" customHeight="1" x14ac:dyDescent="0.2">
      <c r="A15" s="83">
        <v>1</v>
      </c>
      <c r="B15" s="36">
        <v>35.200000000000003</v>
      </c>
      <c r="C15" s="36">
        <f t="shared" si="1"/>
        <v>183155.96590909088</v>
      </c>
      <c r="D15" s="236">
        <v>6447090</v>
      </c>
      <c r="E15" s="36">
        <v>2</v>
      </c>
      <c r="F15" s="36">
        <v>1</v>
      </c>
      <c r="G15" s="56">
        <f t="shared" si="0"/>
        <v>6447090</v>
      </c>
      <c r="M15" s="28"/>
      <c r="N15" s="7"/>
    </row>
    <row r="16" spans="1:14" ht="12.75" customHeight="1" x14ac:dyDescent="0.2">
      <c r="A16" s="83">
        <v>1</v>
      </c>
      <c r="B16" s="36">
        <v>35.200000000000003</v>
      </c>
      <c r="C16" s="36">
        <f t="shared" si="1"/>
        <v>188160.22727272726</v>
      </c>
      <c r="D16" s="236">
        <v>6623240</v>
      </c>
      <c r="E16" s="36">
        <v>7</v>
      </c>
      <c r="F16" s="36">
        <v>1</v>
      </c>
      <c r="G16" s="56">
        <f t="shared" si="0"/>
        <v>6623240</v>
      </c>
      <c r="M16" s="28"/>
      <c r="N16" s="7"/>
    </row>
    <row r="17" spans="1:14" ht="12.75" customHeight="1" x14ac:dyDescent="0.2">
      <c r="A17" s="83">
        <v>1</v>
      </c>
      <c r="B17" s="36">
        <v>35.5</v>
      </c>
      <c r="C17" s="36">
        <f t="shared" si="1"/>
        <v>187894.08450704225</v>
      </c>
      <c r="D17" s="236">
        <v>6670240</v>
      </c>
      <c r="E17" s="36">
        <v>2</v>
      </c>
      <c r="F17" s="36">
        <v>1</v>
      </c>
      <c r="G17" s="56">
        <f t="shared" si="0"/>
        <v>6670240</v>
      </c>
      <c r="M17" s="28"/>
      <c r="N17" s="7"/>
    </row>
    <row r="18" spans="1:14" ht="12.75" customHeight="1" x14ac:dyDescent="0.2">
      <c r="A18" s="83">
        <v>1</v>
      </c>
      <c r="B18" s="36">
        <v>35.5</v>
      </c>
      <c r="C18" s="36">
        <f t="shared" si="1"/>
        <v>190892.39436619717</v>
      </c>
      <c r="D18" s="236">
        <v>6776680</v>
      </c>
      <c r="E18" s="36">
        <v>3</v>
      </c>
      <c r="F18" s="36">
        <v>1</v>
      </c>
      <c r="G18" s="56">
        <f t="shared" si="0"/>
        <v>6776680</v>
      </c>
      <c r="M18" s="28"/>
      <c r="N18" s="7"/>
    </row>
    <row r="19" spans="1:14" ht="12.75" customHeight="1" x14ac:dyDescent="0.2">
      <c r="A19" s="83">
        <v>1</v>
      </c>
      <c r="B19" s="36">
        <v>35.5</v>
      </c>
      <c r="C19" s="36">
        <f t="shared" si="1"/>
        <v>194890.14084507042</v>
      </c>
      <c r="D19" s="236">
        <v>6918600</v>
      </c>
      <c r="E19" s="36">
        <v>4</v>
      </c>
      <c r="F19" s="36">
        <v>1</v>
      </c>
      <c r="G19" s="56">
        <f t="shared" si="0"/>
        <v>6918600</v>
      </c>
      <c r="M19" s="28"/>
      <c r="N19" s="7"/>
    </row>
    <row r="20" spans="1:14" ht="12.75" customHeight="1" x14ac:dyDescent="0.2">
      <c r="A20" s="83">
        <v>1</v>
      </c>
      <c r="B20" s="36">
        <v>35.5</v>
      </c>
      <c r="C20" s="36">
        <f t="shared" si="1"/>
        <v>196889.01408450704</v>
      </c>
      <c r="D20" s="236">
        <v>6989560</v>
      </c>
      <c r="E20" s="36">
        <v>5</v>
      </c>
      <c r="F20" s="36">
        <v>1</v>
      </c>
      <c r="G20" s="56">
        <f t="shared" si="0"/>
        <v>6989560</v>
      </c>
      <c r="M20" s="28"/>
      <c r="N20" s="7"/>
    </row>
    <row r="21" spans="1:14" ht="12.75" customHeight="1" x14ac:dyDescent="0.2">
      <c r="A21" s="83">
        <v>1</v>
      </c>
      <c r="B21" s="36">
        <v>35.200000000000003</v>
      </c>
      <c r="C21" s="36">
        <f t="shared" si="1"/>
        <v>191162.78409090909</v>
      </c>
      <c r="D21" s="236">
        <v>6728930</v>
      </c>
      <c r="E21" s="36">
        <v>10</v>
      </c>
      <c r="F21" s="36">
        <v>1</v>
      </c>
      <c r="G21" s="56">
        <f t="shared" si="0"/>
        <v>6728930</v>
      </c>
      <c r="M21" s="28"/>
      <c r="N21" s="7"/>
    </row>
    <row r="22" spans="1:14" ht="12.75" customHeight="1" x14ac:dyDescent="0.2">
      <c r="A22" s="83">
        <v>1</v>
      </c>
      <c r="B22" s="36">
        <v>35.200000000000003</v>
      </c>
      <c r="C22" s="36">
        <f t="shared" si="1"/>
        <v>191162.78409090909</v>
      </c>
      <c r="D22" s="236">
        <v>6728930</v>
      </c>
      <c r="E22" s="36">
        <v>8</v>
      </c>
      <c r="F22" s="36">
        <v>1</v>
      </c>
      <c r="G22" s="56">
        <f t="shared" si="0"/>
        <v>6728930</v>
      </c>
      <c r="M22" s="28"/>
      <c r="N22" s="7"/>
    </row>
    <row r="23" spans="1:14" ht="12.75" customHeight="1" x14ac:dyDescent="0.2">
      <c r="A23" s="83">
        <v>1</v>
      </c>
      <c r="B23" s="36">
        <v>35.200000000000003</v>
      </c>
      <c r="C23" s="36">
        <f t="shared" si="1"/>
        <v>191162.78409090909</v>
      </c>
      <c r="D23" s="236">
        <v>6728930</v>
      </c>
      <c r="E23" s="36">
        <v>12</v>
      </c>
      <c r="F23" s="36">
        <v>1</v>
      </c>
      <c r="G23" s="56">
        <f t="shared" si="0"/>
        <v>6728930</v>
      </c>
      <c r="M23" s="28"/>
      <c r="N23" s="7"/>
    </row>
    <row r="24" spans="1:14" ht="12.75" customHeight="1" x14ac:dyDescent="0.2">
      <c r="A24" s="83">
        <v>1</v>
      </c>
      <c r="B24" s="36">
        <v>35.200000000000003</v>
      </c>
      <c r="C24" s="36">
        <f t="shared" si="1"/>
        <v>191162.78409090909</v>
      </c>
      <c r="D24" s="236">
        <v>6728930</v>
      </c>
      <c r="E24" s="36">
        <v>9</v>
      </c>
      <c r="F24" s="36">
        <v>1</v>
      </c>
      <c r="G24" s="56">
        <f t="shared" si="0"/>
        <v>6728930</v>
      </c>
      <c r="M24" s="28"/>
      <c r="N24" s="7"/>
    </row>
    <row r="25" spans="1:14" ht="12.75" customHeight="1" x14ac:dyDescent="0.2">
      <c r="A25" s="83">
        <v>1</v>
      </c>
      <c r="B25" s="36">
        <v>35.200000000000003</v>
      </c>
      <c r="C25" s="36">
        <f t="shared" si="1"/>
        <v>191162.78409090909</v>
      </c>
      <c r="D25" s="236">
        <v>6728930</v>
      </c>
      <c r="E25" s="36">
        <v>11</v>
      </c>
      <c r="F25" s="36">
        <v>1</v>
      </c>
      <c r="G25" s="56">
        <f t="shared" si="0"/>
        <v>6728930</v>
      </c>
      <c r="M25" s="28"/>
      <c r="N25" s="7"/>
    </row>
    <row r="26" spans="1:14" x14ac:dyDescent="0.2">
      <c r="A26" s="83">
        <v>1</v>
      </c>
      <c r="B26" s="36">
        <v>35.200000000000003</v>
      </c>
      <c r="C26" s="36">
        <f t="shared" si="1"/>
        <v>188160.22727272726</v>
      </c>
      <c r="D26" s="236">
        <v>6623240</v>
      </c>
      <c r="E26" s="36">
        <v>6</v>
      </c>
      <c r="F26" s="36">
        <v>1</v>
      </c>
      <c r="G26" s="56">
        <f t="shared" si="0"/>
        <v>6623240</v>
      </c>
      <c r="M26" s="28"/>
      <c r="N26" s="7"/>
    </row>
    <row r="27" spans="1:14" x14ac:dyDescent="0.2">
      <c r="A27" s="83">
        <v>1</v>
      </c>
      <c r="B27" s="36">
        <v>35.200000000000003</v>
      </c>
      <c r="C27" s="36">
        <f t="shared" si="1"/>
        <v>188160.22727272726</v>
      </c>
      <c r="D27" s="236">
        <v>6623240</v>
      </c>
      <c r="E27" s="36">
        <v>4</v>
      </c>
      <c r="F27" s="36">
        <v>1</v>
      </c>
      <c r="G27" s="56">
        <f t="shared" si="0"/>
        <v>6623240</v>
      </c>
      <c r="M27" s="28"/>
      <c r="N27" s="7"/>
    </row>
    <row r="28" spans="1:14" x14ac:dyDescent="0.2">
      <c r="A28" s="83">
        <v>1</v>
      </c>
      <c r="B28" s="36">
        <v>35.200000000000003</v>
      </c>
      <c r="C28" s="36">
        <f t="shared" si="1"/>
        <v>188160.22727272726</v>
      </c>
      <c r="D28" s="236">
        <v>6623240</v>
      </c>
      <c r="E28" s="36">
        <v>5</v>
      </c>
      <c r="F28" s="36">
        <v>1</v>
      </c>
      <c r="G28" s="56">
        <f t="shared" si="0"/>
        <v>6623240</v>
      </c>
      <c r="M28" s="28"/>
      <c r="N28" s="7"/>
    </row>
    <row r="29" spans="1:14" x14ac:dyDescent="0.2">
      <c r="A29" s="83">
        <v>1</v>
      </c>
      <c r="B29" s="36">
        <v>37.200000000000003</v>
      </c>
      <c r="C29" s="36">
        <f t="shared" si="1"/>
        <v>185099.46236559137</v>
      </c>
      <c r="D29" s="236">
        <v>6885700</v>
      </c>
      <c r="E29" s="36">
        <v>6</v>
      </c>
      <c r="F29" s="36">
        <v>1</v>
      </c>
      <c r="G29" s="56">
        <f t="shared" si="0"/>
        <v>6885700</v>
      </c>
      <c r="M29" s="28"/>
      <c r="N29" s="7"/>
    </row>
    <row r="30" spans="1:14" x14ac:dyDescent="0.2">
      <c r="A30" s="83">
        <v>1</v>
      </c>
      <c r="B30" s="36">
        <v>37.200000000000003</v>
      </c>
      <c r="C30" s="36">
        <f t="shared" si="1"/>
        <v>185099.46236559137</v>
      </c>
      <c r="D30" s="236">
        <v>6885700</v>
      </c>
      <c r="E30" s="36">
        <v>4</v>
      </c>
      <c r="F30" s="36">
        <v>1</v>
      </c>
      <c r="G30" s="56">
        <f t="shared" si="0"/>
        <v>6885700</v>
      </c>
      <c r="M30" s="28"/>
      <c r="N30" s="7"/>
    </row>
    <row r="31" spans="1:14" ht="12.75" customHeight="1" x14ac:dyDescent="0.2">
      <c r="A31" s="83">
        <v>1</v>
      </c>
      <c r="B31" s="36">
        <v>37.200000000000003</v>
      </c>
      <c r="C31" s="36">
        <f t="shared" si="1"/>
        <v>185099.46236559137</v>
      </c>
      <c r="D31" s="236">
        <v>6885700</v>
      </c>
      <c r="E31" s="36">
        <v>5</v>
      </c>
      <c r="F31" s="36">
        <v>1</v>
      </c>
      <c r="G31" s="56">
        <f t="shared" si="0"/>
        <v>6885700</v>
      </c>
      <c r="M31" s="28"/>
      <c r="N31" s="7"/>
    </row>
    <row r="32" spans="1:14" ht="12.75" customHeight="1" x14ac:dyDescent="0.2">
      <c r="A32" s="83">
        <v>1</v>
      </c>
      <c r="B32" s="36">
        <v>37.200000000000003</v>
      </c>
      <c r="C32" s="36">
        <f t="shared" si="1"/>
        <v>187100.5376344086</v>
      </c>
      <c r="D32" s="236">
        <v>6960140</v>
      </c>
      <c r="E32" s="36">
        <v>10</v>
      </c>
      <c r="F32" s="36">
        <v>1</v>
      </c>
      <c r="G32" s="56">
        <f t="shared" si="0"/>
        <v>6960140</v>
      </c>
      <c r="M32" s="28"/>
      <c r="N32" s="7"/>
    </row>
    <row r="33" spans="1:14" ht="12.75" customHeight="1" x14ac:dyDescent="0.2">
      <c r="A33" s="83">
        <v>1</v>
      </c>
      <c r="B33" s="36">
        <v>37.200000000000003</v>
      </c>
      <c r="C33" s="36">
        <f t="shared" si="1"/>
        <v>190102.15053763438</v>
      </c>
      <c r="D33" s="236">
        <v>7071800</v>
      </c>
      <c r="E33" s="36">
        <v>13</v>
      </c>
      <c r="F33" s="36">
        <v>1</v>
      </c>
      <c r="G33" s="56">
        <f t="shared" si="0"/>
        <v>7071800</v>
      </c>
      <c r="M33" s="28"/>
      <c r="N33" s="7"/>
    </row>
    <row r="34" spans="1:14" x14ac:dyDescent="0.2">
      <c r="A34" s="83">
        <v>1</v>
      </c>
      <c r="B34" s="36">
        <v>37.5</v>
      </c>
      <c r="C34" s="36">
        <f t="shared" si="1"/>
        <v>183244</v>
      </c>
      <c r="D34" s="236">
        <v>6871650</v>
      </c>
      <c r="E34" s="36">
        <v>2</v>
      </c>
      <c r="F34" s="36">
        <v>1</v>
      </c>
      <c r="G34" s="56">
        <f t="shared" si="0"/>
        <v>6871650</v>
      </c>
      <c r="M34" s="28"/>
      <c r="N34" s="7"/>
    </row>
    <row r="35" spans="1:14" x14ac:dyDescent="0.2">
      <c r="A35" s="83">
        <v>1</v>
      </c>
      <c r="B35" s="36">
        <v>37.5</v>
      </c>
      <c r="C35" s="36">
        <f t="shared" si="1"/>
        <v>190253.33333333334</v>
      </c>
      <c r="D35" s="236">
        <v>7134500</v>
      </c>
      <c r="E35" s="36">
        <v>4</v>
      </c>
      <c r="F35" s="36">
        <v>1</v>
      </c>
      <c r="G35" s="56">
        <f t="shared" si="0"/>
        <v>7134500</v>
      </c>
      <c r="M35" s="28"/>
      <c r="N35" s="7"/>
    </row>
    <row r="36" spans="1:14" x14ac:dyDescent="0.2">
      <c r="A36" s="83">
        <v>1</v>
      </c>
      <c r="B36" s="36">
        <v>37.5</v>
      </c>
      <c r="C36" s="36">
        <f t="shared" si="1"/>
        <v>192256</v>
      </c>
      <c r="D36" s="236">
        <v>7209600</v>
      </c>
      <c r="E36" s="36">
        <v>5</v>
      </c>
      <c r="F36" s="36">
        <v>1</v>
      </c>
      <c r="G36" s="56">
        <f t="shared" si="0"/>
        <v>7209600</v>
      </c>
      <c r="M36" s="28"/>
      <c r="N36" s="7"/>
    </row>
    <row r="37" spans="1:14" x14ac:dyDescent="0.2">
      <c r="A37" s="83">
        <v>1</v>
      </c>
      <c r="B37" s="36">
        <v>37.4</v>
      </c>
      <c r="C37" s="36">
        <f t="shared" si="1"/>
        <v>176905.3475935829</v>
      </c>
      <c r="D37" s="236">
        <v>6616260</v>
      </c>
      <c r="E37" s="36">
        <v>3</v>
      </c>
      <c r="F37" s="36">
        <v>1</v>
      </c>
      <c r="G37" s="56">
        <f t="shared" si="0"/>
        <v>6616260</v>
      </c>
      <c r="M37" s="28"/>
      <c r="N37" s="7"/>
    </row>
    <row r="38" spans="1:14" x14ac:dyDescent="0.2">
      <c r="A38" s="83">
        <v>1</v>
      </c>
      <c r="B38" s="36">
        <v>37.4</v>
      </c>
      <c r="C38" s="36">
        <f t="shared" si="1"/>
        <v>176905.3475935829</v>
      </c>
      <c r="D38" s="236">
        <v>6616260</v>
      </c>
      <c r="E38" s="36">
        <v>6</v>
      </c>
      <c r="F38" s="36">
        <v>1</v>
      </c>
      <c r="G38" s="56">
        <f t="shared" si="0"/>
        <v>6616260</v>
      </c>
      <c r="M38" s="28"/>
      <c r="N38" s="7"/>
    </row>
    <row r="39" spans="1:14" x14ac:dyDescent="0.2">
      <c r="A39" s="83">
        <v>1</v>
      </c>
      <c r="B39" s="36">
        <v>37.4</v>
      </c>
      <c r="C39" s="36">
        <f t="shared" si="1"/>
        <v>176905.3475935829</v>
      </c>
      <c r="D39" s="236">
        <v>6616260</v>
      </c>
      <c r="E39" s="55">
        <v>7</v>
      </c>
      <c r="F39" s="36">
        <v>1</v>
      </c>
      <c r="G39" s="56">
        <f t="shared" si="0"/>
        <v>6616260</v>
      </c>
      <c r="M39" s="28"/>
      <c r="N39" s="7"/>
    </row>
    <row r="40" spans="1:14" x14ac:dyDescent="0.2">
      <c r="A40" s="83">
        <v>1</v>
      </c>
      <c r="B40" s="36">
        <v>37.799999999999997</v>
      </c>
      <c r="C40" s="36">
        <f t="shared" si="1"/>
        <v>184755.29100529102</v>
      </c>
      <c r="D40" s="236">
        <v>6983750</v>
      </c>
      <c r="E40" s="36">
        <v>4</v>
      </c>
      <c r="F40" s="36">
        <v>1</v>
      </c>
      <c r="G40" s="56">
        <f t="shared" si="0"/>
        <v>6983750</v>
      </c>
      <c r="M40" s="28"/>
      <c r="N40" s="7"/>
    </row>
    <row r="41" spans="1:14" x14ac:dyDescent="0.2">
      <c r="A41" s="83">
        <v>1</v>
      </c>
      <c r="B41" s="36">
        <v>39.1</v>
      </c>
      <c r="C41" s="36">
        <f t="shared" si="1"/>
        <v>175179.02813299233</v>
      </c>
      <c r="D41" s="236">
        <v>6849500</v>
      </c>
      <c r="E41" s="36" t="s">
        <v>159</v>
      </c>
      <c r="F41" s="36">
        <v>3</v>
      </c>
      <c r="G41" s="56">
        <f t="shared" si="0"/>
        <v>20548500</v>
      </c>
      <c r="M41" s="28"/>
      <c r="N41" s="7"/>
    </row>
    <row r="42" spans="1:14" x14ac:dyDescent="0.2">
      <c r="A42" s="83">
        <v>1</v>
      </c>
      <c r="B42" s="36">
        <v>39.5</v>
      </c>
      <c r="C42" s="36">
        <f t="shared" si="1"/>
        <v>177864.81012658228</v>
      </c>
      <c r="D42" s="236">
        <v>7025660</v>
      </c>
      <c r="E42" s="36">
        <v>6</v>
      </c>
      <c r="F42" s="36">
        <v>1</v>
      </c>
      <c r="G42" s="56">
        <f t="shared" si="0"/>
        <v>7025660</v>
      </c>
      <c r="M42" s="28"/>
      <c r="N42" s="7"/>
    </row>
    <row r="43" spans="1:14" x14ac:dyDescent="0.2">
      <c r="A43" s="83">
        <v>1</v>
      </c>
      <c r="B43" s="36">
        <v>39.5</v>
      </c>
      <c r="C43" s="36">
        <f t="shared" si="1"/>
        <v>177864.81012658228</v>
      </c>
      <c r="D43" s="236">
        <v>7025660</v>
      </c>
      <c r="E43" s="36">
        <v>5</v>
      </c>
      <c r="F43" s="36">
        <v>1</v>
      </c>
      <c r="G43" s="56">
        <f t="shared" si="0"/>
        <v>7025660</v>
      </c>
      <c r="M43" s="28"/>
      <c r="N43" s="7"/>
    </row>
    <row r="44" spans="1:14" x14ac:dyDescent="0.2">
      <c r="A44" s="83">
        <v>1</v>
      </c>
      <c r="B44" s="36">
        <v>39.5</v>
      </c>
      <c r="C44" s="36">
        <f t="shared" si="1"/>
        <v>177864.81012658228</v>
      </c>
      <c r="D44" s="236">
        <v>7025660</v>
      </c>
      <c r="E44" s="36">
        <v>4</v>
      </c>
      <c r="F44" s="36">
        <v>1</v>
      </c>
      <c r="G44" s="56">
        <f t="shared" si="0"/>
        <v>7025660</v>
      </c>
      <c r="N44" s="7"/>
    </row>
    <row r="45" spans="1:14" x14ac:dyDescent="0.2">
      <c r="A45" s="83">
        <v>1</v>
      </c>
      <c r="B45" s="36">
        <v>39.5</v>
      </c>
      <c r="C45" s="36">
        <f t="shared" si="1"/>
        <v>179863.29113924049</v>
      </c>
      <c r="D45" s="236">
        <v>7104600</v>
      </c>
      <c r="E45" s="36">
        <v>12</v>
      </c>
      <c r="F45" s="36">
        <v>1</v>
      </c>
      <c r="G45" s="56">
        <f t="shared" si="0"/>
        <v>7104600</v>
      </c>
      <c r="N45" s="7"/>
    </row>
    <row r="46" spans="1:14" x14ac:dyDescent="0.2">
      <c r="A46" s="83">
        <v>1</v>
      </c>
      <c r="B46" s="36">
        <v>39.5</v>
      </c>
      <c r="C46" s="36">
        <f t="shared" si="1"/>
        <v>179863.29113924049</v>
      </c>
      <c r="D46" s="236">
        <v>7104600</v>
      </c>
      <c r="E46" s="36">
        <v>10</v>
      </c>
      <c r="F46" s="36">
        <v>1</v>
      </c>
      <c r="G46" s="56">
        <f t="shared" si="0"/>
        <v>7104600</v>
      </c>
      <c r="N46" s="7"/>
    </row>
    <row r="47" spans="1:14" x14ac:dyDescent="0.2">
      <c r="A47" s="83">
        <v>1</v>
      </c>
      <c r="B47" s="36">
        <v>39.9</v>
      </c>
      <c r="C47" s="36">
        <f t="shared" si="1"/>
        <v>185046.36591478696</v>
      </c>
      <c r="D47" s="236">
        <v>7383350</v>
      </c>
      <c r="E47" s="36" t="s">
        <v>128</v>
      </c>
      <c r="F47" s="36">
        <v>5</v>
      </c>
      <c r="G47" s="56">
        <f t="shared" si="0"/>
        <v>36916750</v>
      </c>
      <c r="M47" s="28"/>
      <c r="N47" s="7"/>
    </row>
    <row r="48" spans="1:14" x14ac:dyDescent="0.2">
      <c r="A48" s="83">
        <v>1</v>
      </c>
      <c r="B48" s="36">
        <v>40.840000000000003</v>
      </c>
      <c r="C48" s="36">
        <f t="shared" si="1"/>
        <v>174999.99999999997</v>
      </c>
      <c r="D48" s="236">
        <v>7147000</v>
      </c>
      <c r="E48" s="36">
        <v>2</v>
      </c>
      <c r="F48" s="36">
        <v>1</v>
      </c>
      <c r="G48" s="56">
        <f t="shared" si="0"/>
        <v>7147000</v>
      </c>
      <c r="M48" s="28"/>
      <c r="N48" s="7"/>
    </row>
    <row r="49" spans="1:14" x14ac:dyDescent="0.2">
      <c r="A49" s="83">
        <v>1</v>
      </c>
      <c r="B49" s="36">
        <v>40.840000000000003</v>
      </c>
      <c r="C49" s="36">
        <f t="shared" si="1"/>
        <v>180999.99999999997</v>
      </c>
      <c r="D49" s="236">
        <v>7392040</v>
      </c>
      <c r="E49" s="36">
        <v>5</v>
      </c>
      <c r="F49" s="36">
        <v>1</v>
      </c>
      <c r="G49" s="56">
        <f t="shared" si="0"/>
        <v>7392040</v>
      </c>
      <c r="M49" s="28"/>
      <c r="N49" s="7"/>
    </row>
    <row r="50" spans="1:14" x14ac:dyDescent="0.2">
      <c r="A50" s="83">
        <v>1</v>
      </c>
      <c r="B50" s="36">
        <v>40.840000000000003</v>
      </c>
      <c r="C50" s="36">
        <f t="shared" si="1"/>
        <v>180999.99999999997</v>
      </c>
      <c r="D50" s="236">
        <v>7392040</v>
      </c>
      <c r="E50" s="36">
        <v>3</v>
      </c>
      <c r="F50" s="36">
        <v>1</v>
      </c>
      <c r="G50" s="56">
        <f t="shared" si="0"/>
        <v>7392040</v>
      </c>
      <c r="M50" s="28"/>
      <c r="N50" s="7"/>
    </row>
    <row r="51" spans="1:14" x14ac:dyDescent="0.2">
      <c r="A51" s="83">
        <v>1</v>
      </c>
      <c r="B51" s="36">
        <v>40.840000000000003</v>
      </c>
      <c r="C51" s="36">
        <f t="shared" si="1"/>
        <v>180999.99999999997</v>
      </c>
      <c r="D51" s="236">
        <v>7392040</v>
      </c>
      <c r="E51" s="36">
        <v>6</v>
      </c>
      <c r="F51" s="36">
        <v>1</v>
      </c>
      <c r="G51" s="56">
        <f t="shared" si="0"/>
        <v>7392040</v>
      </c>
      <c r="M51" s="28"/>
      <c r="N51" s="7"/>
    </row>
    <row r="52" spans="1:14" x14ac:dyDescent="0.2">
      <c r="A52" s="83">
        <v>1</v>
      </c>
      <c r="B52" s="36">
        <v>40.840000000000003</v>
      </c>
      <c r="C52" s="36">
        <f t="shared" si="1"/>
        <v>180999.99999999997</v>
      </c>
      <c r="D52" s="236">
        <v>7392040</v>
      </c>
      <c r="E52" s="36">
        <v>4</v>
      </c>
      <c r="F52" s="36">
        <v>1</v>
      </c>
      <c r="G52" s="56">
        <f t="shared" si="0"/>
        <v>7392040</v>
      </c>
      <c r="M52" s="28"/>
      <c r="N52" s="7"/>
    </row>
    <row r="53" spans="1:14" x14ac:dyDescent="0.2">
      <c r="A53" s="83">
        <v>1</v>
      </c>
      <c r="B53" s="36">
        <v>40.840000000000003</v>
      </c>
      <c r="C53" s="36">
        <f t="shared" si="1"/>
        <v>180999.99999999997</v>
      </c>
      <c r="D53" s="236">
        <v>7392040</v>
      </c>
      <c r="E53" s="36">
        <v>7</v>
      </c>
      <c r="F53" s="36">
        <v>1</v>
      </c>
      <c r="G53" s="56">
        <f t="shared" si="0"/>
        <v>7392040</v>
      </c>
      <c r="M53" s="28"/>
      <c r="N53" s="7"/>
    </row>
    <row r="54" spans="1:14" x14ac:dyDescent="0.2">
      <c r="A54" s="83">
        <v>1</v>
      </c>
      <c r="B54" s="36">
        <v>44.3</v>
      </c>
      <c r="C54" s="36">
        <f t="shared" si="1"/>
        <v>167037.69751693003</v>
      </c>
      <c r="D54" s="236">
        <v>7399770</v>
      </c>
      <c r="E54" s="36">
        <v>2</v>
      </c>
      <c r="F54" s="36">
        <v>1</v>
      </c>
      <c r="G54" s="56">
        <f t="shared" si="0"/>
        <v>7399770</v>
      </c>
      <c r="M54" s="28"/>
      <c r="N54" s="7"/>
    </row>
    <row r="55" spans="1:14" x14ac:dyDescent="0.2">
      <c r="A55" s="83">
        <v>1</v>
      </c>
      <c r="B55" s="36">
        <v>44.3</v>
      </c>
      <c r="C55" s="36">
        <f t="shared" si="1"/>
        <v>170038.37471783298</v>
      </c>
      <c r="D55" s="236">
        <v>7532700</v>
      </c>
      <c r="E55" s="36">
        <v>6</v>
      </c>
      <c r="F55" s="36">
        <v>1</v>
      </c>
      <c r="G55" s="56">
        <f t="shared" si="0"/>
        <v>7532700</v>
      </c>
      <c r="M55" s="28"/>
      <c r="N55" s="7"/>
    </row>
    <row r="56" spans="1:14" x14ac:dyDescent="0.2">
      <c r="A56" s="83">
        <v>1</v>
      </c>
      <c r="B56" s="36">
        <v>44.3</v>
      </c>
      <c r="C56" s="36">
        <f t="shared" si="1"/>
        <v>170038.37471783298</v>
      </c>
      <c r="D56" s="236">
        <v>7532700</v>
      </c>
      <c r="E56" s="36">
        <v>3</v>
      </c>
      <c r="F56" s="36">
        <v>1</v>
      </c>
      <c r="G56" s="56">
        <f t="shared" si="0"/>
        <v>7532700</v>
      </c>
      <c r="M56" s="28"/>
      <c r="N56" s="7"/>
    </row>
    <row r="57" spans="1:14" x14ac:dyDescent="0.2">
      <c r="A57" s="83">
        <v>1</v>
      </c>
      <c r="B57" s="36">
        <v>44.3</v>
      </c>
      <c r="C57" s="36">
        <f t="shared" si="1"/>
        <v>172038.82618510158</v>
      </c>
      <c r="D57" s="236">
        <v>7621320</v>
      </c>
      <c r="E57" s="36">
        <v>12</v>
      </c>
      <c r="F57" s="36">
        <v>1</v>
      </c>
      <c r="G57" s="56">
        <f t="shared" si="0"/>
        <v>7621320</v>
      </c>
      <c r="M57" s="28"/>
      <c r="N57" s="7"/>
    </row>
    <row r="58" spans="1:14" x14ac:dyDescent="0.2">
      <c r="A58" s="83">
        <v>1</v>
      </c>
      <c r="B58" s="36">
        <v>44.3</v>
      </c>
      <c r="C58" s="36">
        <f t="shared" si="1"/>
        <v>172038.82618510158</v>
      </c>
      <c r="D58" s="236">
        <v>7621320</v>
      </c>
      <c r="E58" s="36">
        <v>10</v>
      </c>
      <c r="F58" s="36">
        <v>1</v>
      </c>
      <c r="G58" s="56">
        <f t="shared" si="0"/>
        <v>7621320</v>
      </c>
      <c r="M58" s="28"/>
      <c r="N58" s="7"/>
    </row>
    <row r="59" spans="1:14" x14ac:dyDescent="0.2">
      <c r="A59" s="83">
        <v>1</v>
      </c>
      <c r="B59" s="36">
        <v>44.3</v>
      </c>
      <c r="C59" s="36">
        <f t="shared" si="1"/>
        <v>172038.82618510158</v>
      </c>
      <c r="D59" s="236">
        <v>7621320</v>
      </c>
      <c r="E59" s="36">
        <v>9</v>
      </c>
      <c r="F59" s="36">
        <v>1</v>
      </c>
      <c r="G59" s="56">
        <f t="shared" si="0"/>
        <v>7621320</v>
      </c>
      <c r="M59" s="28"/>
      <c r="N59" s="7"/>
    </row>
    <row r="60" spans="1:14" x14ac:dyDescent="0.2">
      <c r="A60" s="83">
        <v>1</v>
      </c>
      <c r="B60" s="36">
        <v>47.3</v>
      </c>
      <c r="C60" s="36">
        <f t="shared" si="1"/>
        <v>163861.31078224102</v>
      </c>
      <c r="D60" s="236">
        <v>7750640</v>
      </c>
      <c r="E60" s="36">
        <v>2</v>
      </c>
      <c r="F60" s="36">
        <v>1</v>
      </c>
      <c r="G60" s="56">
        <f t="shared" si="0"/>
        <v>7750640</v>
      </c>
      <c r="M60" s="28"/>
      <c r="N60" s="7"/>
    </row>
    <row r="61" spans="1:14" x14ac:dyDescent="0.2">
      <c r="A61" s="83">
        <v>1</v>
      </c>
      <c r="B61" s="36">
        <v>47.3</v>
      </c>
      <c r="C61" s="36">
        <f t="shared" si="1"/>
        <v>166858.7737843552</v>
      </c>
      <c r="D61" s="236">
        <v>7892420</v>
      </c>
      <c r="E61" s="36">
        <v>8</v>
      </c>
      <c r="F61" s="36">
        <v>1</v>
      </c>
      <c r="G61" s="56">
        <f t="shared" si="0"/>
        <v>7892420</v>
      </c>
      <c r="M61" s="28"/>
      <c r="N61" s="7"/>
    </row>
    <row r="62" spans="1:14" x14ac:dyDescent="0.2">
      <c r="A62" s="83">
        <v>1</v>
      </c>
      <c r="B62" s="36">
        <v>47.3</v>
      </c>
      <c r="C62" s="36">
        <f t="shared" si="1"/>
        <v>166858.7737843552</v>
      </c>
      <c r="D62" s="236">
        <v>7892420</v>
      </c>
      <c r="E62" s="36">
        <v>6</v>
      </c>
      <c r="F62" s="36">
        <v>1</v>
      </c>
      <c r="G62" s="56">
        <f t="shared" si="0"/>
        <v>7892420</v>
      </c>
      <c r="M62" s="28"/>
      <c r="N62" s="7"/>
    </row>
    <row r="63" spans="1:14" x14ac:dyDescent="0.2">
      <c r="A63" s="83">
        <v>1</v>
      </c>
      <c r="B63" s="36">
        <v>47.3</v>
      </c>
      <c r="C63" s="36">
        <f t="shared" si="1"/>
        <v>166858.7737843552</v>
      </c>
      <c r="D63" s="236">
        <v>7892420</v>
      </c>
      <c r="E63" s="36">
        <v>5</v>
      </c>
      <c r="F63" s="36">
        <v>1</v>
      </c>
      <c r="G63" s="56">
        <f t="shared" si="0"/>
        <v>7892420</v>
      </c>
      <c r="M63" s="28"/>
      <c r="N63" s="7"/>
    </row>
    <row r="64" spans="1:14" x14ac:dyDescent="0.2">
      <c r="A64" s="83">
        <v>1</v>
      </c>
      <c r="B64" s="36">
        <v>47.3</v>
      </c>
      <c r="C64" s="36">
        <f t="shared" si="1"/>
        <v>166858.7737843552</v>
      </c>
      <c r="D64" s="236">
        <v>7892420</v>
      </c>
      <c r="E64" s="36">
        <v>4</v>
      </c>
      <c r="F64" s="36">
        <v>1</v>
      </c>
      <c r="G64" s="56">
        <f t="shared" si="0"/>
        <v>7892420</v>
      </c>
      <c r="M64" s="28"/>
      <c r="N64" s="7"/>
    </row>
    <row r="65" spans="1:14" x14ac:dyDescent="0.2">
      <c r="A65" s="83">
        <v>1</v>
      </c>
      <c r="B65" s="36">
        <v>47.3</v>
      </c>
      <c r="C65" s="36">
        <f t="shared" si="1"/>
        <v>166858.7737843552</v>
      </c>
      <c r="D65" s="236">
        <v>7892420</v>
      </c>
      <c r="E65" s="36">
        <v>3</v>
      </c>
      <c r="F65" s="36">
        <v>1</v>
      </c>
      <c r="G65" s="56">
        <f t="shared" si="0"/>
        <v>7892420</v>
      </c>
      <c r="M65" s="28"/>
      <c r="N65" s="7"/>
    </row>
    <row r="66" spans="1:14" x14ac:dyDescent="0.2">
      <c r="A66" s="83">
        <v>1</v>
      </c>
      <c r="B66" s="36">
        <v>47.3</v>
      </c>
      <c r="C66" s="36">
        <f t="shared" si="1"/>
        <v>168857.08245243129</v>
      </c>
      <c r="D66" s="236">
        <v>7986940</v>
      </c>
      <c r="E66" s="36">
        <v>14</v>
      </c>
      <c r="F66" s="36">
        <v>1</v>
      </c>
      <c r="G66" s="56">
        <f t="shared" si="0"/>
        <v>7986940</v>
      </c>
      <c r="M66" s="28"/>
      <c r="N66" s="7"/>
    </row>
    <row r="67" spans="1:14" x14ac:dyDescent="0.2">
      <c r="A67" s="83">
        <v>1</v>
      </c>
      <c r="B67" s="36">
        <v>47.3</v>
      </c>
      <c r="C67" s="36">
        <f t="shared" si="1"/>
        <v>168857.08245243129</v>
      </c>
      <c r="D67" s="236">
        <v>7986940</v>
      </c>
      <c r="E67" s="36">
        <v>13</v>
      </c>
      <c r="F67" s="36">
        <v>1</v>
      </c>
      <c r="G67" s="56">
        <f t="shared" si="0"/>
        <v>7986940</v>
      </c>
      <c r="M67" s="28"/>
      <c r="N67" s="7"/>
    </row>
    <row r="68" spans="1:14" x14ac:dyDescent="0.2">
      <c r="A68" s="83">
        <v>1</v>
      </c>
      <c r="B68" s="36">
        <v>47.3</v>
      </c>
      <c r="C68" s="36">
        <f t="shared" si="1"/>
        <v>168857.08245243129</v>
      </c>
      <c r="D68" s="236">
        <v>7986940</v>
      </c>
      <c r="E68" s="36">
        <v>12</v>
      </c>
      <c r="F68" s="36">
        <v>1</v>
      </c>
      <c r="G68" s="56">
        <f t="shared" si="0"/>
        <v>7986940</v>
      </c>
      <c r="M68" s="28"/>
      <c r="N68" s="7"/>
    </row>
    <row r="69" spans="1:14" x14ac:dyDescent="0.2">
      <c r="A69" s="83">
        <v>1</v>
      </c>
      <c r="B69" s="36">
        <v>47.3</v>
      </c>
      <c r="C69" s="36">
        <f t="shared" si="1"/>
        <v>168857.08245243129</v>
      </c>
      <c r="D69" s="236">
        <v>7986940</v>
      </c>
      <c r="E69" s="36">
        <v>11</v>
      </c>
      <c r="F69" s="36">
        <v>1</v>
      </c>
      <c r="G69" s="56">
        <f t="shared" ref="G69:G132" si="2">F69*D69</f>
        <v>7986940</v>
      </c>
      <c r="M69" s="28"/>
      <c r="N69" s="7"/>
    </row>
    <row r="70" spans="1:14" x14ac:dyDescent="0.2">
      <c r="A70" s="83">
        <v>1</v>
      </c>
      <c r="B70" s="36">
        <v>47.3</v>
      </c>
      <c r="C70" s="36">
        <f t="shared" si="1"/>
        <v>168857.08245243129</v>
      </c>
      <c r="D70" s="236">
        <v>7986940</v>
      </c>
      <c r="E70" s="36">
        <v>10</v>
      </c>
      <c r="F70" s="36">
        <v>1</v>
      </c>
      <c r="G70" s="56">
        <f t="shared" si="2"/>
        <v>7986940</v>
      </c>
      <c r="M70" s="28"/>
      <c r="N70" s="7"/>
    </row>
    <row r="71" spans="1:14" x14ac:dyDescent="0.2">
      <c r="A71" s="83">
        <v>1</v>
      </c>
      <c r="B71" s="36">
        <v>47.3</v>
      </c>
      <c r="C71" s="36">
        <f t="shared" si="1"/>
        <v>168857.08245243129</v>
      </c>
      <c r="D71" s="236">
        <v>7986940</v>
      </c>
      <c r="E71" s="36">
        <v>9</v>
      </c>
      <c r="F71" s="36">
        <v>1</v>
      </c>
      <c r="G71" s="56">
        <f t="shared" si="2"/>
        <v>7986940</v>
      </c>
      <c r="M71" s="28"/>
      <c r="N71" s="7"/>
    </row>
    <row r="72" spans="1:14" x14ac:dyDescent="0.2">
      <c r="A72" s="83">
        <v>1</v>
      </c>
      <c r="B72" s="36">
        <v>47.3</v>
      </c>
      <c r="C72" s="36">
        <f t="shared" si="1"/>
        <v>173852.85412262159</v>
      </c>
      <c r="D72" s="236">
        <v>8223240</v>
      </c>
      <c r="E72" s="36">
        <v>15</v>
      </c>
      <c r="F72" s="36">
        <v>1</v>
      </c>
      <c r="G72" s="56">
        <f t="shared" si="2"/>
        <v>8223240</v>
      </c>
      <c r="M72" s="28"/>
      <c r="N72" s="7"/>
    </row>
    <row r="73" spans="1:14" x14ac:dyDescent="0.2">
      <c r="A73" s="83">
        <v>2</v>
      </c>
      <c r="B73" s="36">
        <v>50.7</v>
      </c>
      <c r="C73" s="36">
        <f t="shared" si="1"/>
        <v>179893.49112426036</v>
      </c>
      <c r="D73" s="236">
        <v>9120600</v>
      </c>
      <c r="E73" s="36">
        <v>2</v>
      </c>
      <c r="F73" s="36">
        <v>1</v>
      </c>
      <c r="G73" s="56">
        <f t="shared" si="2"/>
        <v>9120600</v>
      </c>
      <c r="M73" s="28"/>
      <c r="N73" s="7"/>
    </row>
    <row r="74" spans="1:14" x14ac:dyDescent="0.2">
      <c r="A74" s="83">
        <v>2</v>
      </c>
      <c r="B74" s="36">
        <v>50.7</v>
      </c>
      <c r="C74" s="36">
        <f t="shared" si="1"/>
        <v>185889.94082840235</v>
      </c>
      <c r="D74" s="236">
        <v>9424620</v>
      </c>
      <c r="E74" s="36">
        <v>4</v>
      </c>
      <c r="F74" s="36">
        <v>1</v>
      </c>
      <c r="G74" s="56">
        <f t="shared" si="2"/>
        <v>9424620</v>
      </c>
      <c r="M74" s="28"/>
      <c r="N74" s="7"/>
    </row>
    <row r="75" spans="1:14" x14ac:dyDescent="0.2">
      <c r="A75" s="83">
        <v>2</v>
      </c>
      <c r="B75" s="36">
        <v>50.7</v>
      </c>
      <c r="C75" s="36">
        <f t="shared" si="1"/>
        <v>187888.75739644968</v>
      </c>
      <c r="D75" s="236">
        <v>9525960</v>
      </c>
      <c r="E75" s="36">
        <v>5</v>
      </c>
      <c r="F75" s="36">
        <v>1</v>
      </c>
      <c r="G75" s="56">
        <f t="shared" si="2"/>
        <v>9525960</v>
      </c>
      <c r="M75" s="28"/>
      <c r="N75" s="7"/>
    </row>
    <row r="76" spans="1:14" x14ac:dyDescent="0.2">
      <c r="A76" s="83">
        <v>2</v>
      </c>
      <c r="B76" s="36">
        <v>51.7</v>
      </c>
      <c r="C76" s="36">
        <f t="shared" ref="C76:C139" si="3">D76/B76</f>
        <v>184856.86653771758</v>
      </c>
      <c r="D76" s="236">
        <v>9557100</v>
      </c>
      <c r="E76" s="36">
        <v>4</v>
      </c>
      <c r="F76" s="36">
        <v>1</v>
      </c>
      <c r="G76" s="56">
        <f t="shared" si="2"/>
        <v>9557100</v>
      </c>
      <c r="M76" s="28"/>
      <c r="N76" s="7"/>
    </row>
    <row r="77" spans="1:14" x14ac:dyDescent="0.2">
      <c r="A77" s="83">
        <v>2</v>
      </c>
      <c r="B77" s="36">
        <v>51.7</v>
      </c>
      <c r="C77" s="36">
        <f t="shared" si="3"/>
        <v>195848.35589941972</v>
      </c>
      <c r="D77" s="236">
        <v>10125360</v>
      </c>
      <c r="E77" s="36">
        <v>13</v>
      </c>
      <c r="F77" s="36">
        <v>1</v>
      </c>
      <c r="G77" s="56">
        <f t="shared" si="2"/>
        <v>10125360</v>
      </c>
      <c r="M77" s="28"/>
      <c r="N77" s="7"/>
    </row>
    <row r="78" spans="1:14" x14ac:dyDescent="0.2">
      <c r="A78" s="83">
        <v>1</v>
      </c>
      <c r="B78" s="36">
        <v>54.5</v>
      </c>
      <c r="C78" s="36">
        <f t="shared" si="3"/>
        <v>156855.96330275229</v>
      </c>
      <c r="D78" s="236">
        <v>8548650</v>
      </c>
      <c r="E78" s="36">
        <v>2</v>
      </c>
      <c r="F78" s="36">
        <v>1</v>
      </c>
      <c r="G78" s="56">
        <f t="shared" si="2"/>
        <v>8548650</v>
      </c>
      <c r="M78" s="28"/>
      <c r="N78" s="7"/>
    </row>
    <row r="79" spans="1:14" x14ac:dyDescent="0.2">
      <c r="A79" s="83">
        <v>1</v>
      </c>
      <c r="B79" s="36">
        <v>54.5</v>
      </c>
      <c r="C79" s="36">
        <f t="shared" si="3"/>
        <v>159853.21100917432</v>
      </c>
      <c r="D79" s="236">
        <v>8712000</v>
      </c>
      <c r="E79" s="36">
        <v>4</v>
      </c>
      <c r="F79" s="36">
        <v>1</v>
      </c>
      <c r="G79" s="56">
        <f t="shared" si="2"/>
        <v>8712000</v>
      </c>
      <c r="M79" s="28"/>
      <c r="N79" s="7"/>
    </row>
    <row r="80" spans="1:14" x14ac:dyDescent="0.2">
      <c r="A80" s="83">
        <v>1</v>
      </c>
      <c r="B80" s="36">
        <v>54.5</v>
      </c>
      <c r="C80" s="36">
        <f t="shared" si="3"/>
        <v>159853.21100917432</v>
      </c>
      <c r="D80" s="236">
        <v>8712000</v>
      </c>
      <c r="E80" s="36">
        <v>3</v>
      </c>
      <c r="F80" s="36">
        <v>1</v>
      </c>
      <c r="G80" s="56">
        <f t="shared" si="2"/>
        <v>8712000</v>
      </c>
      <c r="M80" s="28"/>
      <c r="N80" s="7"/>
    </row>
    <row r="81" spans="1:14" x14ac:dyDescent="0.2">
      <c r="A81" s="83">
        <v>1</v>
      </c>
      <c r="B81" s="36">
        <v>54.5</v>
      </c>
      <c r="C81" s="36">
        <f t="shared" si="3"/>
        <v>159853.21100917432</v>
      </c>
      <c r="D81" s="236">
        <v>8712000</v>
      </c>
      <c r="E81" s="36">
        <v>13</v>
      </c>
      <c r="F81" s="36">
        <v>1</v>
      </c>
      <c r="G81" s="56">
        <f t="shared" si="2"/>
        <v>8712000</v>
      </c>
      <c r="M81" s="28"/>
      <c r="N81" s="7"/>
    </row>
    <row r="82" spans="1:14" x14ac:dyDescent="0.2">
      <c r="A82" s="83">
        <v>1</v>
      </c>
      <c r="B82" s="36">
        <v>54.5</v>
      </c>
      <c r="C82" s="36">
        <f t="shared" si="3"/>
        <v>163849.54128440368</v>
      </c>
      <c r="D82" s="236">
        <v>8929800</v>
      </c>
      <c r="E82" s="36">
        <v>12</v>
      </c>
      <c r="F82" s="36">
        <v>1</v>
      </c>
      <c r="G82" s="56">
        <f t="shared" si="2"/>
        <v>8929800</v>
      </c>
      <c r="M82" s="28"/>
      <c r="N82" s="7"/>
    </row>
    <row r="83" spans="1:14" x14ac:dyDescent="0.2">
      <c r="A83" s="83">
        <v>1</v>
      </c>
      <c r="B83" s="36">
        <v>54.5</v>
      </c>
      <c r="C83" s="36">
        <f t="shared" si="3"/>
        <v>163849.54128440368</v>
      </c>
      <c r="D83" s="236">
        <v>8929800</v>
      </c>
      <c r="E83" s="36">
        <v>11</v>
      </c>
      <c r="F83" s="36">
        <v>1</v>
      </c>
      <c r="G83" s="56">
        <f t="shared" si="2"/>
        <v>8929800</v>
      </c>
      <c r="M83" s="28"/>
      <c r="N83" s="7"/>
    </row>
    <row r="84" spans="1:14" x14ac:dyDescent="0.2">
      <c r="A84" s="83">
        <v>1</v>
      </c>
      <c r="B84" s="36">
        <v>54.5</v>
      </c>
      <c r="C84" s="36">
        <f t="shared" si="3"/>
        <v>163849.54128440368</v>
      </c>
      <c r="D84" s="236">
        <v>8929800</v>
      </c>
      <c r="E84" s="36">
        <v>10</v>
      </c>
      <c r="F84" s="36">
        <v>1</v>
      </c>
      <c r="G84" s="56">
        <f t="shared" si="2"/>
        <v>8929800</v>
      </c>
      <c r="M84" s="28"/>
      <c r="N84" s="7"/>
    </row>
    <row r="85" spans="1:14" x14ac:dyDescent="0.2">
      <c r="A85" s="83">
        <v>2</v>
      </c>
      <c r="B85" s="36">
        <v>59.1</v>
      </c>
      <c r="C85" s="36">
        <f t="shared" si="3"/>
        <v>184937.3942470389</v>
      </c>
      <c r="D85" s="236">
        <v>10929800</v>
      </c>
      <c r="E85" s="36">
        <v>4</v>
      </c>
      <c r="F85" s="36">
        <v>1</v>
      </c>
      <c r="G85" s="56">
        <f t="shared" si="2"/>
        <v>10929800</v>
      </c>
      <c r="M85" s="28"/>
      <c r="N85" s="7"/>
    </row>
    <row r="86" spans="1:14" x14ac:dyDescent="0.2">
      <c r="A86" s="83">
        <v>2</v>
      </c>
      <c r="B86" s="36">
        <v>59.1</v>
      </c>
      <c r="C86" s="36">
        <f t="shared" si="3"/>
        <v>190935.36379018612</v>
      </c>
      <c r="D86" s="236">
        <v>11284280</v>
      </c>
      <c r="E86" s="36">
        <v>5</v>
      </c>
      <c r="F86" s="36">
        <v>1</v>
      </c>
      <c r="G86" s="56">
        <f t="shared" si="2"/>
        <v>11284280</v>
      </c>
      <c r="M86" s="28"/>
      <c r="N86" s="7"/>
    </row>
    <row r="87" spans="1:14" x14ac:dyDescent="0.2">
      <c r="A87" s="83">
        <v>1</v>
      </c>
      <c r="B87" s="36">
        <v>60.8</v>
      </c>
      <c r="C87" s="36">
        <f t="shared" si="3"/>
        <v>145903.94736842107</v>
      </c>
      <c r="D87" s="236">
        <v>8870960</v>
      </c>
      <c r="E87" s="36" t="s">
        <v>160</v>
      </c>
      <c r="F87" s="36">
        <v>2</v>
      </c>
      <c r="G87" s="56">
        <f t="shared" si="2"/>
        <v>17741920</v>
      </c>
      <c r="M87" s="28"/>
      <c r="N87" s="7"/>
    </row>
    <row r="88" spans="1:14" x14ac:dyDescent="0.2">
      <c r="A88" s="83">
        <v>1</v>
      </c>
      <c r="B88" s="36">
        <v>60.8</v>
      </c>
      <c r="C88" s="36">
        <f t="shared" si="3"/>
        <v>145903.94736842107</v>
      </c>
      <c r="D88" s="236">
        <v>8870960</v>
      </c>
      <c r="E88" s="36">
        <v>3</v>
      </c>
      <c r="F88" s="36">
        <v>1</v>
      </c>
      <c r="G88" s="56">
        <f t="shared" si="2"/>
        <v>8870960</v>
      </c>
      <c r="M88" s="28"/>
      <c r="N88" s="7"/>
    </row>
    <row r="89" spans="1:14" x14ac:dyDescent="0.2">
      <c r="A89" s="83">
        <v>1</v>
      </c>
      <c r="B89" s="36">
        <v>60.8</v>
      </c>
      <c r="C89" s="36">
        <f t="shared" si="3"/>
        <v>148901.97368421053</v>
      </c>
      <c r="D89" s="236">
        <v>9053240</v>
      </c>
      <c r="E89" s="36">
        <v>9</v>
      </c>
      <c r="F89" s="36">
        <v>1</v>
      </c>
      <c r="G89" s="56">
        <f t="shared" si="2"/>
        <v>9053240</v>
      </c>
      <c r="M89" s="28"/>
      <c r="N89" s="7"/>
    </row>
    <row r="90" spans="1:14" x14ac:dyDescent="0.2">
      <c r="A90" s="83">
        <v>1</v>
      </c>
      <c r="B90" s="36">
        <v>60.8</v>
      </c>
      <c r="C90" s="36">
        <f t="shared" si="3"/>
        <v>148901.97368421053</v>
      </c>
      <c r="D90" s="236">
        <v>9053240</v>
      </c>
      <c r="E90" s="36">
        <v>11</v>
      </c>
      <c r="F90" s="36">
        <v>1</v>
      </c>
      <c r="G90" s="56">
        <f t="shared" si="2"/>
        <v>9053240</v>
      </c>
      <c r="M90" s="28"/>
      <c r="N90" s="7"/>
    </row>
    <row r="91" spans="1:14" x14ac:dyDescent="0.2">
      <c r="A91" s="83">
        <v>1</v>
      </c>
      <c r="B91" s="36">
        <v>60.8</v>
      </c>
      <c r="C91" s="36">
        <f t="shared" si="3"/>
        <v>148901.97368421053</v>
      </c>
      <c r="D91" s="236">
        <v>9053240</v>
      </c>
      <c r="E91" s="36">
        <v>10</v>
      </c>
      <c r="F91" s="36">
        <v>1</v>
      </c>
      <c r="G91" s="56">
        <f t="shared" si="2"/>
        <v>9053240</v>
      </c>
      <c r="M91" s="28"/>
      <c r="N91" s="7"/>
    </row>
    <row r="92" spans="1:14" x14ac:dyDescent="0.2">
      <c r="A92" s="83">
        <v>2</v>
      </c>
      <c r="B92" s="36">
        <v>61</v>
      </c>
      <c r="C92" s="36">
        <f t="shared" si="3"/>
        <v>151049.50819672132</v>
      </c>
      <c r="D92" s="236">
        <v>9214020</v>
      </c>
      <c r="E92" s="36">
        <v>4</v>
      </c>
      <c r="F92" s="36">
        <v>1</v>
      </c>
      <c r="G92" s="56">
        <f t="shared" si="2"/>
        <v>9214020</v>
      </c>
      <c r="M92" s="28"/>
      <c r="N92" s="7"/>
    </row>
    <row r="93" spans="1:14" x14ac:dyDescent="0.2">
      <c r="A93" s="83">
        <v>2</v>
      </c>
      <c r="B93" s="36">
        <v>61</v>
      </c>
      <c r="C93" s="36">
        <f t="shared" si="3"/>
        <v>147048.19672131148</v>
      </c>
      <c r="D93" s="236">
        <v>8969940</v>
      </c>
      <c r="E93" s="36">
        <v>6</v>
      </c>
      <c r="F93" s="36">
        <v>1</v>
      </c>
      <c r="G93" s="56">
        <f t="shared" si="2"/>
        <v>8969940</v>
      </c>
      <c r="M93" s="28"/>
      <c r="N93" s="7"/>
    </row>
    <row r="94" spans="1:14" x14ac:dyDescent="0.2">
      <c r="A94" s="83">
        <v>2</v>
      </c>
      <c r="B94" s="36">
        <v>61</v>
      </c>
      <c r="C94" s="36">
        <f t="shared" si="3"/>
        <v>147048.19672131148</v>
      </c>
      <c r="D94" s="236">
        <v>8969940</v>
      </c>
      <c r="E94" s="36">
        <v>3</v>
      </c>
      <c r="F94" s="36">
        <v>1</v>
      </c>
      <c r="G94" s="56">
        <f t="shared" si="2"/>
        <v>8969940</v>
      </c>
      <c r="M94" s="28"/>
      <c r="N94" s="7"/>
    </row>
    <row r="95" spans="1:14" x14ac:dyDescent="0.2">
      <c r="A95" s="83">
        <v>2</v>
      </c>
      <c r="B95" s="36">
        <v>61</v>
      </c>
      <c r="C95" s="36">
        <f t="shared" si="3"/>
        <v>155050.81967213115</v>
      </c>
      <c r="D95" s="236">
        <v>9458100</v>
      </c>
      <c r="E95" s="36">
        <v>14</v>
      </c>
      <c r="F95" s="36">
        <v>1</v>
      </c>
      <c r="G95" s="56">
        <f t="shared" si="2"/>
        <v>9458100</v>
      </c>
      <c r="M95" s="28"/>
      <c r="N95" s="7"/>
    </row>
    <row r="96" spans="1:14" x14ac:dyDescent="0.2">
      <c r="A96" s="83">
        <v>2</v>
      </c>
      <c r="B96" s="36">
        <v>61</v>
      </c>
      <c r="C96" s="36">
        <f t="shared" si="3"/>
        <v>151049.50819672132</v>
      </c>
      <c r="D96" s="236">
        <v>9214020</v>
      </c>
      <c r="E96" s="36" t="s">
        <v>331</v>
      </c>
      <c r="F96" s="36">
        <v>5</v>
      </c>
      <c r="G96" s="56">
        <f t="shared" si="2"/>
        <v>46070100</v>
      </c>
      <c r="M96" s="28"/>
      <c r="N96" s="7"/>
    </row>
    <row r="97" spans="1:14" x14ac:dyDescent="0.2">
      <c r="A97" s="83">
        <v>2</v>
      </c>
      <c r="B97" s="36">
        <v>61</v>
      </c>
      <c r="C97" s="36">
        <f t="shared" si="3"/>
        <v>157051.47540983607</v>
      </c>
      <c r="D97" s="236">
        <v>9580140</v>
      </c>
      <c r="E97" s="36">
        <v>15</v>
      </c>
      <c r="F97" s="36">
        <v>1</v>
      </c>
      <c r="G97" s="56">
        <f t="shared" si="2"/>
        <v>9580140</v>
      </c>
      <c r="M97" s="28"/>
      <c r="N97" s="7"/>
    </row>
    <row r="98" spans="1:14" x14ac:dyDescent="0.2">
      <c r="A98" s="83">
        <v>2</v>
      </c>
      <c r="B98" s="36">
        <v>61.2</v>
      </c>
      <c r="C98" s="36">
        <f t="shared" si="3"/>
        <v>151950.32679738561</v>
      </c>
      <c r="D98" s="236">
        <v>9299360</v>
      </c>
      <c r="E98" s="36">
        <v>3</v>
      </c>
      <c r="F98" s="36">
        <v>1</v>
      </c>
      <c r="G98" s="56">
        <f t="shared" si="2"/>
        <v>9299360</v>
      </c>
      <c r="M98" s="28"/>
      <c r="N98" s="7"/>
    </row>
    <row r="99" spans="1:14" x14ac:dyDescent="0.2">
      <c r="A99" s="83">
        <v>2</v>
      </c>
      <c r="B99" s="36">
        <v>61.2</v>
      </c>
      <c r="C99" s="36">
        <f t="shared" si="3"/>
        <v>159947.71241830065</v>
      </c>
      <c r="D99" s="236">
        <v>9788800</v>
      </c>
      <c r="E99" s="36">
        <v>8</v>
      </c>
      <c r="F99" s="36">
        <v>1</v>
      </c>
      <c r="G99" s="56">
        <f t="shared" si="2"/>
        <v>9788800</v>
      </c>
      <c r="M99" s="28"/>
      <c r="N99" s="7"/>
    </row>
    <row r="100" spans="1:14" x14ac:dyDescent="0.2">
      <c r="A100" s="83">
        <v>2</v>
      </c>
      <c r="B100" s="36">
        <v>61.2</v>
      </c>
      <c r="C100" s="36">
        <f t="shared" si="3"/>
        <v>159947.71241830065</v>
      </c>
      <c r="D100" s="236">
        <v>9788800</v>
      </c>
      <c r="E100" s="36">
        <v>7</v>
      </c>
      <c r="F100" s="36">
        <v>1</v>
      </c>
      <c r="G100" s="56">
        <f t="shared" si="2"/>
        <v>9788800</v>
      </c>
      <c r="M100" s="28"/>
      <c r="N100" s="7"/>
    </row>
    <row r="101" spans="1:14" x14ac:dyDescent="0.2">
      <c r="A101" s="83">
        <v>2</v>
      </c>
      <c r="B101" s="36">
        <v>61.2</v>
      </c>
      <c r="C101" s="36">
        <f t="shared" si="3"/>
        <v>159947.71241830065</v>
      </c>
      <c r="D101" s="236">
        <v>9788800</v>
      </c>
      <c r="E101" s="36">
        <v>6</v>
      </c>
      <c r="F101" s="36">
        <v>1</v>
      </c>
      <c r="G101" s="56">
        <f t="shared" si="2"/>
        <v>9788800</v>
      </c>
      <c r="M101" s="28"/>
      <c r="N101" s="7"/>
    </row>
    <row r="102" spans="1:14" x14ac:dyDescent="0.2">
      <c r="A102" s="83">
        <v>2</v>
      </c>
      <c r="B102" s="36">
        <v>61.2</v>
      </c>
      <c r="C102" s="36">
        <f t="shared" si="3"/>
        <v>159947.71241830065</v>
      </c>
      <c r="D102" s="236">
        <v>9788800</v>
      </c>
      <c r="E102" s="36">
        <v>5</v>
      </c>
      <c r="F102" s="36">
        <v>1</v>
      </c>
      <c r="G102" s="56">
        <f t="shared" si="2"/>
        <v>9788800</v>
      </c>
      <c r="M102" s="28"/>
      <c r="N102" s="7"/>
    </row>
    <row r="103" spans="1:14" x14ac:dyDescent="0.2">
      <c r="A103" s="83">
        <v>2</v>
      </c>
      <c r="B103" s="36">
        <v>61.2</v>
      </c>
      <c r="C103" s="36">
        <f t="shared" si="3"/>
        <v>159947.71241830065</v>
      </c>
      <c r="D103" s="236">
        <v>9788800</v>
      </c>
      <c r="E103" s="36">
        <v>4</v>
      </c>
      <c r="F103" s="36">
        <v>1</v>
      </c>
      <c r="G103" s="56">
        <f t="shared" si="2"/>
        <v>9788800</v>
      </c>
      <c r="M103" s="28"/>
      <c r="N103" s="7"/>
    </row>
    <row r="104" spans="1:14" x14ac:dyDescent="0.2">
      <c r="A104" s="83">
        <v>2</v>
      </c>
      <c r="B104" s="36">
        <v>61.2</v>
      </c>
      <c r="C104" s="36">
        <f t="shared" si="3"/>
        <v>162946.73202614379</v>
      </c>
      <c r="D104" s="236">
        <v>9972340</v>
      </c>
      <c r="E104" s="36">
        <v>10</v>
      </c>
      <c r="F104" s="36">
        <v>1</v>
      </c>
      <c r="G104" s="56">
        <f t="shared" si="2"/>
        <v>9972340</v>
      </c>
      <c r="M104" s="28"/>
      <c r="N104" s="7"/>
    </row>
    <row r="105" spans="1:14" x14ac:dyDescent="0.2">
      <c r="A105" s="83">
        <v>2</v>
      </c>
      <c r="B105" s="36">
        <v>61.2</v>
      </c>
      <c r="C105" s="36">
        <f t="shared" si="3"/>
        <v>162946.73202614379</v>
      </c>
      <c r="D105" s="236">
        <v>9972340</v>
      </c>
      <c r="E105" s="36">
        <v>12</v>
      </c>
      <c r="F105" s="36">
        <v>1</v>
      </c>
      <c r="G105" s="56">
        <f t="shared" si="2"/>
        <v>9972340</v>
      </c>
      <c r="M105" s="28"/>
      <c r="N105" s="7"/>
    </row>
    <row r="106" spans="1:14" x14ac:dyDescent="0.2">
      <c r="A106" s="83">
        <v>2</v>
      </c>
      <c r="B106" s="36">
        <v>61.2</v>
      </c>
      <c r="C106" s="36">
        <f t="shared" si="3"/>
        <v>162946.73202614379</v>
      </c>
      <c r="D106" s="236">
        <v>9972340</v>
      </c>
      <c r="E106" s="36">
        <v>11</v>
      </c>
      <c r="F106" s="36">
        <v>1</v>
      </c>
      <c r="G106" s="56">
        <f t="shared" si="2"/>
        <v>9972340</v>
      </c>
      <c r="M106" s="28"/>
      <c r="N106" s="7"/>
    </row>
    <row r="107" spans="1:14" x14ac:dyDescent="0.2">
      <c r="A107" s="83">
        <v>2</v>
      </c>
      <c r="B107" s="36">
        <v>61.2</v>
      </c>
      <c r="C107" s="36">
        <f t="shared" si="3"/>
        <v>162946.73202614379</v>
      </c>
      <c r="D107" s="236">
        <v>9972340</v>
      </c>
      <c r="E107" s="36">
        <v>9</v>
      </c>
      <c r="F107" s="36">
        <v>1</v>
      </c>
      <c r="G107" s="56">
        <f t="shared" si="2"/>
        <v>9972340</v>
      </c>
      <c r="M107" s="28"/>
      <c r="N107" s="7"/>
    </row>
    <row r="108" spans="1:14" x14ac:dyDescent="0.2">
      <c r="A108" s="83">
        <v>2</v>
      </c>
      <c r="B108" s="36">
        <v>61.2</v>
      </c>
      <c r="C108" s="36">
        <f t="shared" si="3"/>
        <v>164946.07843137253</v>
      </c>
      <c r="D108" s="236">
        <v>10094700</v>
      </c>
      <c r="E108" s="36">
        <v>13</v>
      </c>
      <c r="F108" s="36">
        <v>1</v>
      </c>
      <c r="G108" s="56">
        <f t="shared" si="2"/>
        <v>10094700</v>
      </c>
      <c r="M108" s="28"/>
      <c r="N108" s="7"/>
    </row>
    <row r="109" spans="1:14" x14ac:dyDescent="0.2">
      <c r="A109" s="83">
        <v>2</v>
      </c>
      <c r="B109" s="36">
        <v>62</v>
      </c>
      <c r="C109" s="36">
        <f t="shared" si="3"/>
        <v>161895.48387096773</v>
      </c>
      <c r="D109" s="236">
        <v>10037520</v>
      </c>
      <c r="E109" s="36">
        <v>2</v>
      </c>
      <c r="F109" s="36">
        <v>1</v>
      </c>
      <c r="G109" s="56">
        <f t="shared" si="2"/>
        <v>10037520</v>
      </c>
      <c r="M109" s="28"/>
      <c r="N109" s="7"/>
    </row>
    <row r="110" spans="1:14" x14ac:dyDescent="0.2">
      <c r="A110" s="83">
        <v>2</v>
      </c>
      <c r="B110" s="36">
        <v>62</v>
      </c>
      <c r="C110" s="36">
        <f t="shared" si="3"/>
        <v>174887.09677419355</v>
      </c>
      <c r="D110" s="236">
        <v>10843000</v>
      </c>
      <c r="E110" s="36">
        <v>8</v>
      </c>
      <c r="F110" s="36">
        <v>1</v>
      </c>
      <c r="G110" s="56">
        <f t="shared" si="2"/>
        <v>10843000</v>
      </c>
      <c r="M110" s="28"/>
      <c r="N110" s="7"/>
    </row>
    <row r="111" spans="1:14" x14ac:dyDescent="0.2">
      <c r="A111" s="83">
        <v>2</v>
      </c>
      <c r="B111" s="36">
        <v>62</v>
      </c>
      <c r="C111" s="36">
        <f t="shared" si="3"/>
        <v>174887.09677419355</v>
      </c>
      <c r="D111" s="236">
        <v>10843000</v>
      </c>
      <c r="E111" s="36">
        <v>3</v>
      </c>
      <c r="F111" s="36">
        <v>1</v>
      </c>
      <c r="G111" s="56">
        <f t="shared" si="2"/>
        <v>10843000</v>
      </c>
      <c r="M111" s="28"/>
      <c r="N111" s="7"/>
    </row>
    <row r="112" spans="1:14" x14ac:dyDescent="0.2">
      <c r="A112" s="83">
        <v>2</v>
      </c>
      <c r="B112" s="36">
        <v>62</v>
      </c>
      <c r="C112" s="36">
        <f t="shared" si="3"/>
        <v>174887.09677419355</v>
      </c>
      <c r="D112" s="236">
        <v>10843000</v>
      </c>
      <c r="E112" s="36">
        <v>4</v>
      </c>
      <c r="F112" s="36">
        <v>1</v>
      </c>
      <c r="G112" s="56">
        <f t="shared" si="2"/>
        <v>10843000</v>
      </c>
      <c r="M112" s="28"/>
      <c r="N112" s="7"/>
    </row>
    <row r="113" spans="1:14" x14ac:dyDescent="0.2">
      <c r="A113" s="83">
        <v>2</v>
      </c>
      <c r="B113" s="36">
        <v>62</v>
      </c>
      <c r="C113" s="36">
        <f t="shared" si="3"/>
        <v>184880.64516129033</v>
      </c>
      <c r="D113" s="236">
        <v>11462600</v>
      </c>
      <c r="E113" s="36">
        <v>13</v>
      </c>
      <c r="F113" s="36">
        <v>1</v>
      </c>
      <c r="G113" s="56">
        <f t="shared" si="2"/>
        <v>11462600</v>
      </c>
      <c r="M113" s="28"/>
      <c r="N113" s="7"/>
    </row>
    <row r="114" spans="1:14" x14ac:dyDescent="0.2">
      <c r="A114" s="83">
        <v>2</v>
      </c>
      <c r="B114" s="36">
        <v>62</v>
      </c>
      <c r="C114" s="36">
        <f t="shared" si="3"/>
        <v>184880.64516129033</v>
      </c>
      <c r="D114" s="236">
        <v>11462600</v>
      </c>
      <c r="E114" s="36">
        <v>10</v>
      </c>
      <c r="F114" s="36">
        <v>1</v>
      </c>
      <c r="G114" s="56">
        <f t="shared" si="2"/>
        <v>11462600</v>
      </c>
      <c r="M114" s="28"/>
      <c r="N114" s="7"/>
    </row>
    <row r="115" spans="1:14" x14ac:dyDescent="0.2">
      <c r="A115" s="83">
        <v>2</v>
      </c>
      <c r="B115" s="36">
        <v>62.8</v>
      </c>
      <c r="C115" s="36">
        <f t="shared" si="3"/>
        <v>151903.18471337581</v>
      </c>
      <c r="D115" s="236">
        <v>9539520</v>
      </c>
      <c r="E115" s="36">
        <v>2</v>
      </c>
      <c r="F115" s="36">
        <v>1</v>
      </c>
      <c r="G115" s="56">
        <f t="shared" si="2"/>
        <v>9539520</v>
      </c>
      <c r="M115" s="28"/>
      <c r="N115" s="7"/>
    </row>
    <row r="116" spans="1:14" x14ac:dyDescent="0.2">
      <c r="A116" s="83">
        <v>2</v>
      </c>
      <c r="B116" s="36">
        <v>62.8</v>
      </c>
      <c r="C116" s="36">
        <f t="shared" si="3"/>
        <v>159898.08917197454</v>
      </c>
      <c r="D116" s="236">
        <v>10041600</v>
      </c>
      <c r="E116" s="36">
        <v>4</v>
      </c>
      <c r="F116" s="36">
        <v>1</v>
      </c>
      <c r="G116" s="56">
        <f t="shared" si="2"/>
        <v>10041600</v>
      </c>
      <c r="M116" s="28"/>
      <c r="N116" s="7"/>
    </row>
    <row r="117" spans="1:14" x14ac:dyDescent="0.2">
      <c r="A117" s="83">
        <v>2</v>
      </c>
      <c r="B117" s="36">
        <v>62.8</v>
      </c>
      <c r="C117" s="36">
        <f t="shared" si="3"/>
        <v>159898.08917197454</v>
      </c>
      <c r="D117" s="236">
        <v>10041600</v>
      </c>
      <c r="E117" s="36">
        <v>6</v>
      </c>
      <c r="F117" s="36">
        <v>1</v>
      </c>
      <c r="G117" s="56">
        <f t="shared" si="2"/>
        <v>10041600</v>
      </c>
      <c r="M117" s="28"/>
      <c r="N117" s="7"/>
    </row>
    <row r="118" spans="1:14" x14ac:dyDescent="0.2">
      <c r="A118" s="83">
        <v>2</v>
      </c>
      <c r="B118" s="36">
        <v>62.8</v>
      </c>
      <c r="C118" s="36">
        <f t="shared" si="3"/>
        <v>159898.08917197454</v>
      </c>
      <c r="D118" s="236">
        <v>10041600</v>
      </c>
      <c r="E118" s="36">
        <v>5</v>
      </c>
      <c r="F118" s="36">
        <v>1</v>
      </c>
      <c r="G118" s="56">
        <f t="shared" si="2"/>
        <v>10041600</v>
      </c>
      <c r="M118" s="28"/>
      <c r="N118" s="7"/>
    </row>
    <row r="119" spans="1:14" x14ac:dyDescent="0.2">
      <c r="A119" s="83">
        <v>2</v>
      </c>
      <c r="B119" s="36">
        <v>62.8</v>
      </c>
      <c r="C119" s="36">
        <f t="shared" si="3"/>
        <v>159898.08917197454</v>
      </c>
      <c r="D119" s="236">
        <v>10041600</v>
      </c>
      <c r="E119" s="36">
        <v>3</v>
      </c>
      <c r="F119" s="36">
        <v>1</v>
      </c>
      <c r="G119" s="56">
        <f t="shared" si="2"/>
        <v>10041600</v>
      </c>
      <c r="M119" s="28"/>
      <c r="N119" s="7"/>
    </row>
    <row r="120" spans="1:14" x14ac:dyDescent="0.2">
      <c r="A120" s="83">
        <v>2</v>
      </c>
      <c r="B120" s="36">
        <v>62.8</v>
      </c>
      <c r="C120" s="36">
        <f t="shared" si="3"/>
        <v>162896.17834394905</v>
      </c>
      <c r="D120" s="236">
        <v>10229880</v>
      </c>
      <c r="E120" s="36">
        <v>10</v>
      </c>
      <c r="F120" s="36">
        <v>1</v>
      </c>
      <c r="G120" s="56">
        <f t="shared" si="2"/>
        <v>10229880</v>
      </c>
      <c r="M120" s="28"/>
      <c r="N120" s="7"/>
    </row>
    <row r="121" spans="1:14" x14ac:dyDescent="0.2">
      <c r="A121" s="83">
        <v>2</v>
      </c>
      <c r="B121" s="36">
        <v>62.8</v>
      </c>
      <c r="C121" s="36">
        <f t="shared" si="3"/>
        <v>162896.17834394905</v>
      </c>
      <c r="D121" s="236">
        <v>10229880</v>
      </c>
      <c r="E121" s="36">
        <v>11</v>
      </c>
      <c r="F121" s="36">
        <v>1</v>
      </c>
      <c r="G121" s="56">
        <f t="shared" si="2"/>
        <v>10229880</v>
      </c>
      <c r="M121" s="28"/>
      <c r="N121" s="7"/>
    </row>
    <row r="122" spans="1:14" x14ac:dyDescent="0.2">
      <c r="A122" s="83">
        <v>2</v>
      </c>
      <c r="B122" s="36">
        <v>62.8</v>
      </c>
      <c r="C122" s="36">
        <f t="shared" si="3"/>
        <v>162896.17834394905</v>
      </c>
      <c r="D122" s="236">
        <v>10229880</v>
      </c>
      <c r="E122" s="36">
        <v>9</v>
      </c>
      <c r="F122" s="36">
        <v>1</v>
      </c>
      <c r="G122" s="56">
        <f t="shared" si="2"/>
        <v>10229880</v>
      </c>
      <c r="M122" s="28"/>
      <c r="N122" s="7"/>
    </row>
    <row r="123" spans="1:14" x14ac:dyDescent="0.2">
      <c r="A123" s="83">
        <v>2</v>
      </c>
      <c r="B123" s="36">
        <v>63.9</v>
      </c>
      <c r="C123" s="36">
        <f t="shared" si="3"/>
        <v>160025.03912363068</v>
      </c>
      <c r="D123" s="236">
        <v>10225600</v>
      </c>
      <c r="E123" s="36">
        <v>8</v>
      </c>
      <c r="F123" s="36">
        <v>1</v>
      </c>
      <c r="G123" s="56">
        <f t="shared" si="2"/>
        <v>10225600</v>
      </c>
      <c r="M123" s="28"/>
      <c r="N123" s="7"/>
    </row>
    <row r="124" spans="1:14" x14ac:dyDescent="0.2">
      <c r="A124" s="83">
        <v>2</v>
      </c>
      <c r="B124" s="36">
        <v>63.9</v>
      </c>
      <c r="C124" s="36">
        <f t="shared" si="3"/>
        <v>160025.03912363068</v>
      </c>
      <c r="D124" s="236">
        <v>10225600</v>
      </c>
      <c r="E124" s="36">
        <v>7</v>
      </c>
      <c r="F124" s="36">
        <v>1</v>
      </c>
      <c r="G124" s="56">
        <f t="shared" si="2"/>
        <v>10225600</v>
      </c>
      <c r="M124" s="28"/>
      <c r="N124" s="7"/>
    </row>
    <row r="125" spans="1:14" x14ac:dyDescent="0.2">
      <c r="A125" s="83">
        <v>2</v>
      </c>
      <c r="B125" s="36">
        <v>63.9</v>
      </c>
      <c r="C125" s="36">
        <f t="shared" si="3"/>
        <v>160025.03912363068</v>
      </c>
      <c r="D125" s="236">
        <v>10225600</v>
      </c>
      <c r="E125" s="36">
        <v>6</v>
      </c>
      <c r="F125" s="36">
        <v>1</v>
      </c>
      <c r="G125" s="56">
        <f t="shared" si="2"/>
        <v>10225600</v>
      </c>
      <c r="M125" s="28"/>
      <c r="N125" s="7"/>
    </row>
    <row r="126" spans="1:14" x14ac:dyDescent="0.2">
      <c r="A126" s="83">
        <v>2</v>
      </c>
      <c r="B126" s="36">
        <v>63.9</v>
      </c>
      <c r="C126" s="36">
        <f t="shared" si="3"/>
        <v>160025.03912363068</v>
      </c>
      <c r="D126" s="236">
        <v>10225600</v>
      </c>
      <c r="E126" s="36">
        <v>5</v>
      </c>
      <c r="F126" s="36">
        <v>1</v>
      </c>
      <c r="G126" s="56">
        <f t="shared" si="2"/>
        <v>10225600</v>
      </c>
      <c r="M126" s="28"/>
      <c r="N126" s="7"/>
    </row>
    <row r="127" spans="1:14" x14ac:dyDescent="0.2">
      <c r="A127" s="83">
        <v>2</v>
      </c>
      <c r="B127" s="36">
        <v>63.9</v>
      </c>
      <c r="C127" s="36">
        <f t="shared" si="3"/>
        <v>160025.03912363068</v>
      </c>
      <c r="D127" s="236">
        <v>10225600</v>
      </c>
      <c r="E127" s="36">
        <v>4</v>
      </c>
      <c r="F127" s="36">
        <v>1</v>
      </c>
      <c r="G127" s="56">
        <f t="shared" si="2"/>
        <v>10225600</v>
      </c>
      <c r="M127" s="28"/>
      <c r="N127" s="7"/>
    </row>
    <row r="128" spans="1:14" x14ac:dyDescent="0.2">
      <c r="A128" s="83">
        <v>2</v>
      </c>
      <c r="B128" s="36">
        <v>63.9</v>
      </c>
      <c r="C128" s="36">
        <f t="shared" si="3"/>
        <v>163025.50860719875</v>
      </c>
      <c r="D128" s="236">
        <v>10417330</v>
      </c>
      <c r="E128" s="36">
        <v>12</v>
      </c>
      <c r="F128" s="36">
        <v>1</v>
      </c>
      <c r="G128" s="56">
        <f t="shared" si="2"/>
        <v>10417330</v>
      </c>
      <c r="M128" s="28"/>
      <c r="N128" s="7"/>
    </row>
    <row r="129" spans="1:14" x14ac:dyDescent="0.2">
      <c r="A129" s="83">
        <v>2</v>
      </c>
      <c r="B129" s="36">
        <v>63.9</v>
      </c>
      <c r="C129" s="36">
        <f t="shared" si="3"/>
        <v>163025.50860719875</v>
      </c>
      <c r="D129" s="236">
        <v>10417330</v>
      </c>
      <c r="E129" s="36">
        <v>11</v>
      </c>
      <c r="F129" s="36">
        <v>1</v>
      </c>
      <c r="G129" s="56">
        <f t="shared" si="2"/>
        <v>10417330</v>
      </c>
      <c r="M129" s="28"/>
      <c r="N129" s="7"/>
    </row>
    <row r="130" spans="1:14" x14ac:dyDescent="0.2">
      <c r="A130" s="83">
        <v>2</v>
      </c>
      <c r="B130" s="36">
        <v>63.9</v>
      </c>
      <c r="C130" s="36">
        <f t="shared" si="3"/>
        <v>163025.50860719875</v>
      </c>
      <c r="D130" s="236">
        <v>10417330</v>
      </c>
      <c r="E130" s="36">
        <v>10</v>
      </c>
      <c r="F130" s="36">
        <v>1</v>
      </c>
      <c r="G130" s="56">
        <f t="shared" si="2"/>
        <v>10417330</v>
      </c>
      <c r="M130" s="28"/>
      <c r="N130" s="7"/>
    </row>
    <row r="131" spans="1:14" x14ac:dyDescent="0.2">
      <c r="A131" s="83">
        <v>2</v>
      </c>
      <c r="B131" s="36">
        <v>63.9</v>
      </c>
      <c r="C131" s="36">
        <f t="shared" si="3"/>
        <v>163025.50860719875</v>
      </c>
      <c r="D131" s="236">
        <v>10417330</v>
      </c>
      <c r="E131" s="36">
        <v>9</v>
      </c>
      <c r="F131" s="36">
        <v>1</v>
      </c>
      <c r="G131" s="56">
        <f t="shared" si="2"/>
        <v>10417330</v>
      </c>
      <c r="M131" s="28"/>
      <c r="N131" s="7"/>
    </row>
    <row r="132" spans="1:14" x14ac:dyDescent="0.2">
      <c r="A132" s="83">
        <v>3</v>
      </c>
      <c r="B132" s="36">
        <v>73.8</v>
      </c>
      <c r="C132" s="36">
        <f t="shared" si="3"/>
        <v>144000</v>
      </c>
      <c r="D132" s="236">
        <v>10627200</v>
      </c>
      <c r="E132" s="36">
        <v>2</v>
      </c>
      <c r="F132" s="36">
        <v>1</v>
      </c>
      <c r="G132" s="56">
        <f t="shared" si="2"/>
        <v>10627200</v>
      </c>
      <c r="M132" s="28"/>
      <c r="N132" s="7"/>
    </row>
    <row r="133" spans="1:14" x14ac:dyDescent="0.2">
      <c r="A133" s="83">
        <v>3</v>
      </c>
      <c r="B133" s="36">
        <v>73.8</v>
      </c>
      <c r="C133" s="36">
        <f t="shared" si="3"/>
        <v>149000</v>
      </c>
      <c r="D133" s="236">
        <v>10996200</v>
      </c>
      <c r="E133" s="36">
        <v>3</v>
      </c>
      <c r="F133" s="36">
        <v>1</v>
      </c>
      <c r="G133" s="56">
        <f t="shared" ref="G133:G151" si="4">F133*D133</f>
        <v>10996200</v>
      </c>
      <c r="M133" s="28"/>
      <c r="N133" s="7"/>
    </row>
    <row r="134" spans="1:14" x14ac:dyDescent="0.2">
      <c r="A134" s="83">
        <v>3</v>
      </c>
      <c r="B134" s="36">
        <v>73.8</v>
      </c>
      <c r="C134" s="36">
        <f t="shared" si="3"/>
        <v>155000</v>
      </c>
      <c r="D134" s="236">
        <v>11439000</v>
      </c>
      <c r="E134" s="36">
        <v>4</v>
      </c>
      <c r="F134" s="36">
        <v>1</v>
      </c>
      <c r="G134" s="56">
        <f t="shared" si="4"/>
        <v>11439000</v>
      </c>
      <c r="M134" s="28"/>
      <c r="N134" s="7"/>
    </row>
    <row r="135" spans="1:14" x14ac:dyDescent="0.2">
      <c r="A135" s="83">
        <v>3</v>
      </c>
      <c r="B135" s="36">
        <v>73.8</v>
      </c>
      <c r="C135" s="36">
        <f t="shared" si="3"/>
        <v>157000</v>
      </c>
      <c r="D135" s="236">
        <v>11586600</v>
      </c>
      <c r="E135" s="36">
        <v>5</v>
      </c>
      <c r="F135" s="36">
        <v>1</v>
      </c>
      <c r="G135" s="56">
        <f t="shared" si="4"/>
        <v>11586600</v>
      </c>
      <c r="M135" s="28"/>
      <c r="N135" s="7"/>
    </row>
    <row r="136" spans="1:14" x14ac:dyDescent="0.2">
      <c r="A136" s="83">
        <v>3</v>
      </c>
      <c r="B136" s="36">
        <v>74.5</v>
      </c>
      <c r="C136" s="36">
        <f t="shared" si="3"/>
        <v>134035.97315436241</v>
      </c>
      <c r="D136" s="236">
        <v>9985680</v>
      </c>
      <c r="E136" s="36">
        <v>2</v>
      </c>
      <c r="F136" s="36">
        <v>1</v>
      </c>
      <c r="G136" s="56">
        <f t="shared" si="4"/>
        <v>9985680</v>
      </c>
      <c r="M136" s="28"/>
      <c r="N136" s="7"/>
    </row>
    <row r="137" spans="1:14" x14ac:dyDescent="0.2">
      <c r="A137" s="83">
        <v>3</v>
      </c>
      <c r="B137" s="36">
        <v>74.5</v>
      </c>
      <c r="C137" s="36">
        <f t="shared" si="3"/>
        <v>150040.26845637584</v>
      </c>
      <c r="D137" s="236">
        <v>11178000</v>
      </c>
      <c r="E137" s="36" t="s">
        <v>127</v>
      </c>
      <c r="F137" s="36">
        <v>5</v>
      </c>
      <c r="G137" s="56">
        <f t="shared" si="4"/>
        <v>55890000</v>
      </c>
      <c r="M137" s="28"/>
      <c r="N137" s="7"/>
    </row>
    <row r="138" spans="1:14" x14ac:dyDescent="0.2">
      <c r="A138" s="83">
        <v>3</v>
      </c>
      <c r="B138" s="36">
        <v>74.5</v>
      </c>
      <c r="C138" s="36">
        <f t="shared" si="3"/>
        <v>152040.80536912751</v>
      </c>
      <c r="D138" s="236">
        <v>11327040</v>
      </c>
      <c r="E138" s="36" t="s">
        <v>128</v>
      </c>
      <c r="F138" s="36">
        <v>5</v>
      </c>
      <c r="G138" s="56">
        <f t="shared" si="4"/>
        <v>56635200</v>
      </c>
      <c r="M138" s="28"/>
      <c r="N138" s="7"/>
    </row>
    <row r="139" spans="1:14" x14ac:dyDescent="0.2">
      <c r="A139" s="83">
        <v>3</v>
      </c>
      <c r="B139" s="36">
        <v>74.900000000000006</v>
      </c>
      <c r="C139" s="36">
        <f t="shared" si="3"/>
        <v>162912.95060080106</v>
      </c>
      <c r="D139" s="236">
        <v>12202180</v>
      </c>
      <c r="E139" s="36">
        <v>4</v>
      </c>
      <c r="F139" s="36">
        <v>1</v>
      </c>
      <c r="G139" s="56">
        <f t="shared" si="4"/>
        <v>12202180</v>
      </c>
      <c r="M139" s="28"/>
      <c r="N139" s="7"/>
    </row>
    <row r="140" spans="1:14" x14ac:dyDescent="0.2">
      <c r="A140" s="83">
        <v>3</v>
      </c>
      <c r="B140" s="36">
        <v>76.7</v>
      </c>
      <c r="C140" s="36">
        <f t="shared" ref="C140:C144" si="5">D140/B140</f>
        <v>129000</v>
      </c>
      <c r="D140" s="236">
        <v>9894300</v>
      </c>
      <c r="E140" s="36">
        <v>2</v>
      </c>
      <c r="F140" s="36">
        <v>1</v>
      </c>
      <c r="G140" s="56">
        <f t="shared" si="4"/>
        <v>9894300</v>
      </c>
      <c r="M140" s="28"/>
      <c r="N140" s="7"/>
    </row>
    <row r="141" spans="1:14" x14ac:dyDescent="0.2">
      <c r="A141" s="83">
        <v>3</v>
      </c>
      <c r="B141" s="36">
        <v>76.7</v>
      </c>
      <c r="C141" s="36">
        <f t="shared" si="5"/>
        <v>140000</v>
      </c>
      <c r="D141" s="236">
        <v>10738000</v>
      </c>
      <c r="E141" s="36" t="s">
        <v>127</v>
      </c>
      <c r="F141" s="36">
        <v>5</v>
      </c>
      <c r="G141" s="56">
        <f t="shared" si="4"/>
        <v>53690000</v>
      </c>
      <c r="M141" s="28"/>
      <c r="N141" s="7"/>
    </row>
    <row r="142" spans="1:14" x14ac:dyDescent="0.2">
      <c r="A142" s="83">
        <v>3</v>
      </c>
      <c r="B142" s="36">
        <v>76.7</v>
      </c>
      <c r="C142" s="36">
        <f t="shared" si="5"/>
        <v>142000</v>
      </c>
      <c r="D142" s="236">
        <v>10891400</v>
      </c>
      <c r="E142" s="36" t="s">
        <v>128</v>
      </c>
      <c r="F142" s="36">
        <v>5</v>
      </c>
      <c r="G142" s="56">
        <f t="shared" si="4"/>
        <v>54457000</v>
      </c>
      <c r="M142" s="28"/>
      <c r="N142" s="7"/>
    </row>
    <row r="143" spans="1:14" x14ac:dyDescent="0.2">
      <c r="A143" s="83">
        <v>4</v>
      </c>
      <c r="B143" s="36">
        <v>119.1</v>
      </c>
      <c r="C143" s="36">
        <f t="shared" si="5"/>
        <v>184937.86733837111</v>
      </c>
      <c r="D143" s="236">
        <v>22026100</v>
      </c>
      <c r="E143" s="36">
        <v>15</v>
      </c>
      <c r="F143" s="36">
        <v>1</v>
      </c>
      <c r="G143" s="56">
        <f t="shared" si="4"/>
        <v>22026100</v>
      </c>
      <c r="M143" s="28"/>
      <c r="N143" s="7"/>
    </row>
    <row r="144" spans="1:14" x14ac:dyDescent="0.2">
      <c r="A144" s="83">
        <v>4</v>
      </c>
      <c r="B144" s="36">
        <v>131.69999999999999</v>
      </c>
      <c r="C144" s="36">
        <f t="shared" si="5"/>
        <v>174960.1366742597</v>
      </c>
      <c r="D144" s="236">
        <v>23042250</v>
      </c>
      <c r="E144" s="36">
        <v>16</v>
      </c>
      <c r="F144" s="36">
        <v>1</v>
      </c>
      <c r="G144" s="56">
        <f t="shared" si="4"/>
        <v>23042250</v>
      </c>
      <c r="M144" s="28"/>
      <c r="N144" s="7"/>
    </row>
    <row r="145" spans="1:14" x14ac:dyDescent="0.2">
      <c r="A145" s="313" t="s">
        <v>67</v>
      </c>
      <c r="B145" s="314"/>
      <c r="C145" s="314"/>
      <c r="D145" s="314"/>
      <c r="E145" s="315"/>
      <c r="F145" s="108" t="s">
        <v>71</v>
      </c>
      <c r="G145" s="109" t="s">
        <v>90</v>
      </c>
      <c r="M145" s="28"/>
      <c r="N145" s="7"/>
    </row>
    <row r="146" spans="1:14" x14ac:dyDescent="0.2">
      <c r="A146" s="110" t="s">
        <v>6</v>
      </c>
      <c r="B146" s="110" t="s">
        <v>23</v>
      </c>
      <c r="C146" s="111" t="s">
        <v>66</v>
      </c>
      <c r="D146" s="379" t="s">
        <v>12</v>
      </c>
      <c r="E146" s="110" t="s">
        <v>10</v>
      </c>
      <c r="F146" s="112"/>
      <c r="M146" s="28"/>
      <c r="N146" s="7"/>
    </row>
    <row r="147" spans="1:14" x14ac:dyDescent="0.2">
      <c r="A147" s="83">
        <v>1</v>
      </c>
      <c r="B147" s="36">
        <v>40.200000000000003</v>
      </c>
      <c r="C147" s="35">
        <f>D147/B147</f>
        <v>185820.89552238805</v>
      </c>
      <c r="D147" s="236">
        <v>7470000</v>
      </c>
      <c r="E147" s="36">
        <v>5</v>
      </c>
      <c r="F147" s="36">
        <v>1</v>
      </c>
      <c r="G147" s="56">
        <f t="shared" ref="G147" si="6">F147*D147</f>
        <v>7470000</v>
      </c>
      <c r="M147" s="28"/>
      <c r="N147" s="7"/>
    </row>
    <row r="148" spans="1:14" x14ac:dyDescent="0.2">
      <c r="A148" s="378">
        <v>1</v>
      </c>
      <c r="B148" s="374">
        <v>40.200000000000003</v>
      </c>
      <c r="C148" s="375">
        <f>D148/B148</f>
        <v>170000</v>
      </c>
      <c r="D148" s="380">
        <v>6834000</v>
      </c>
      <c r="E148" s="377">
        <v>10</v>
      </c>
      <c r="F148" s="45">
        <v>1</v>
      </c>
      <c r="G148" s="376">
        <v>6834000</v>
      </c>
      <c r="M148" s="28"/>
      <c r="N148" s="7"/>
    </row>
    <row r="149" spans="1:14" x14ac:dyDescent="0.2">
      <c r="A149" s="378">
        <v>2</v>
      </c>
      <c r="B149" s="374">
        <v>55</v>
      </c>
      <c r="C149" s="375">
        <f>D149/B149</f>
        <v>157000</v>
      </c>
      <c r="D149" s="380">
        <v>8635000</v>
      </c>
      <c r="E149" s="377">
        <v>9</v>
      </c>
      <c r="F149" s="45">
        <v>1</v>
      </c>
      <c r="G149" s="376">
        <v>8635000</v>
      </c>
      <c r="M149" s="28"/>
      <c r="N149" s="7"/>
    </row>
    <row r="150" spans="1:14" x14ac:dyDescent="0.2">
      <c r="A150" s="378">
        <v>2</v>
      </c>
      <c r="B150" s="374">
        <v>55.1</v>
      </c>
      <c r="C150" s="375">
        <f>D150/B150</f>
        <v>157000</v>
      </c>
      <c r="D150" s="380">
        <v>8650700</v>
      </c>
      <c r="E150" s="377">
        <v>10</v>
      </c>
      <c r="F150" s="45">
        <v>1</v>
      </c>
      <c r="G150" s="376">
        <v>8650700</v>
      </c>
      <c r="M150" s="28"/>
      <c r="N150" s="7"/>
    </row>
    <row r="151" spans="1:14" x14ac:dyDescent="0.2">
      <c r="A151" s="378">
        <v>2</v>
      </c>
      <c r="B151" s="374">
        <v>62.5</v>
      </c>
      <c r="C151" s="375">
        <f>D151/B151</f>
        <v>148600</v>
      </c>
      <c r="D151" s="380">
        <v>9287500</v>
      </c>
      <c r="E151" s="377">
        <v>8</v>
      </c>
      <c r="F151" s="45">
        <v>1</v>
      </c>
      <c r="G151" s="376">
        <v>9287500</v>
      </c>
      <c r="M151" s="28"/>
      <c r="N151" s="7"/>
    </row>
    <row r="152" spans="1:14" x14ac:dyDescent="0.2">
      <c r="A152" s="313" t="s">
        <v>69</v>
      </c>
      <c r="B152" s="314"/>
      <c r="C152" s="314"/>
      <c r="D152" s="314"/>
      <c r="E152" s="315"/>
      <c r="F152" s="113" t="s">
        <v>108</v>
      </c>
      <c r="M152" s="28"/>
      <c r="N152" s="7"/>
    </row>
    <row r="153" spans="1:14" x14ac:dyDescent="0.2">
      <c r="A153" s="110" t="s">
        <v>6</v>
      </c>
      <c r="B153" s="110" t="s">
        <v>23</v>
      </c>
      <c r="C153" s="111" t="s">
        <v>66</v>
      </c>
      <c r="D153" s="379" t="s">
        <v>12</v>
      </c>
      <c r="E153" s="110" t="s">
        <v>10</v>
      </c>
      <c r="M153" s="28"/>
      <c r="N153" s="7"/>
    </row>
    <row r="154" spans="1:14" x14ac:dyDescent="0.2">
      <c r="A154" s="83">
        <v>1</v>
      </c>
      <c r="B154" s="36">
        <v>37.200000000000003</v>
      </c>
      <c r="C154" s="82">
        <f t="shared" ref="C154:C217" si="7">D154/B154</f>
        <v>153717.31182795699</v>
      </c>
      <c r="D154" s="236">
        <v>5718284</v>
      </c>
      <c r="E154" s="56">
        <v>9</v>
      </c>
      <c r="F154" s="36">
        <v>1</v>
      </c>
      <c r="G154" s="56">
        <f>F154*D154</f>
        <v>5718284</v>
      </c>
      <c r="M154" s="28"/>
      <c r="N154" s="7"/>
    </row>
    <row r="155" spans="1:14" x14ac:dyDescent="0.2">
      <c r="A155" s="83">
        <v>1</v>
      </c>
      <c r="B155" s="36">
        <v>37.200000000000003</v>
      </c>
      <c r="C155" s="82">
        <f t="shared" si="7"/>
        <v>153717.31182795699</v>
      </c>
      <c r="D155" s="236">
        <v>5718284</v>
      </c>
      <c r="E155" s="56">
        <v>6</v>
      </c>
      <c r="F155" s="36">
        <v>1</v>
      </c>
      <c r="G155" s="56">
        <f t="shared" ref="G155:G218" si="8">F155*D155</f>
        <v>5718284</v>
      </c>
      <c r="M155" s="28"/>
      <c r="N155" s="7"/>
    </row>
    <row r="156" spans="1:14" x14ac:dyDescent="0.2">
      <c r="A156" s="83">
        <v>1</v>
      </c>
      <c r="B156" s="36">
        <v>37.200000000000003</v>
      </c>
      <c r="C156" s="82">
        <f t="shared" si="7"/>
        <v>154217.04301075268</v>
      </c>
      <c r="D156" s="236">
        <v>5736874</v>
      </c>
      <c r="E156" s="56">
        <v>6</v>
      </c>
      <c r="F156" s="36">
        <v>1</v>
      </c>
      <c r="G156" s="56">
        <f t="shared" si="8"/>
        <v>5736874</v>
      </c>
      <c r="M156" s="28"/>
      <c r="N156" s="7"/>
    </row>
    <row r="157" spans="1:14" x14ac:dyDescent="0.2">
      <c r="A157" s="83">
        <v>1</v>
      </c>
      <c r="B157" s="36">
        <v>37.200000000000003</v>
      </c>
      <c r="C157" s="82">
        <f t="shared" si="7"/>
        <v>133728.06451612903</v>
      </c>
      <c r="D157" s="236">
        <v>4974684</v>
      </c>
      <c r="E157" s="56">
        <v>8</v>
      </c>
      <c r="F157" s="36">
        <v>1</v>
      </c>
      <c r="G157" s="56">
        <f t="shared" si="8"/>
        <v>4974684</v>
      </c>
      <c r="M157" s="28"/>
      <c r="N157" s="7"/>
    </row>
    <row r="158" spans="1:14" x14ac:dyDescent="0.2">
      <c r="A158" s="83">
        <v>1</v>
      </c>
      <c r="B158" s="36">
        <v>37.200000000000003</v>
      </c>
      <c r="C158" s="82">
        <f t="shared" si="7"/>
        <v>134227.79569892472</v>
      </c>
      <c r="D158" s="236">
        <v>4993274</v>
      </c>
      <c r="E158" s="56">
        <v>7</v>
      </c>
      <c r="F158" s="36">
        <v>2</v>
      </c>
      <c r="G158" s="56">
        <f t="shared" si="8"/>
        <v>9986548</v>
      </c>
      <c r="M158" s="28"/>
      <c r="N158" s="7"/>
    </row>
    <row r="159" spans="1:14" x14ac:dyDescent="0.2">
      <c r="A159" s="83">
        <v>1</v>
      </c>
      <c r="B159" s="36">
        <v>37.200000000000003</v>
      </c>
      <c r="C159" s="82">
        <f t="shared" si="7"/>
        <v>154217.04301075268</v>
      </c>
      <c r="D159" s="236">
        <v>5736874</v>
      </c>
      <c r="E159" s="56">
        <v>9</v>
      </c>
      <c r="F159" s="36">
        <v>1</v>
      </c>
      <c r="G159" s="56">
        <f t="shared" si="8"/>
        <v>5736874</v>
      </c>
      <c r="M159" s="28"/>
      <c r="N159" s="7"/>
    </row>
    <row r="160" spans="1:14" x14ac:dyDescent="0.2">
      <c r="A160" s="83">
        <v>1</v>
      </c>
      <c r="B160" s="36">
        <v>37.200000000000003</v>
      </c>
      <c r="C160" s="82">
        <f t="shared" si="7"/>
        <v>134227.79569892472</v>
      </c>
      <c r="D160" s="236">
        <v>4993274</v>
      </c>
      <c r="E160" s="56">
        <v>8</v>
      </c>
      <c r="F160" s="36">
        <v>1</v>
      </c>
      <c r="G160" s="56">
        <f t="shared" si="8"/>
        <v>4993274</v>
      </c>
      <c r="M160" s="28"/>
      <c r="N160" s="7"/>
    </row>
    <row r="161" spans="1:14" x14ac:dyDescent="0.2">
      <c r="A161" s="83">
        <v>1</v>
      </c>
      <c r="B161" s="36">
        <v>37.200000000000003</v>
      </c>
      <c r="C161" s="82">
        <f t="shared" si="7"/>
        <v>155816.1827956989</v>
      </c>
      <c r="D161" s="236">
        <v>5796362</v>
      </c>
      <c r="E161" s="56">
        <v>10</v>
      </c>
      <c r="F161" s="36">
        <v>2</v>
      </c>
      <c r="G161" s="56">
        <f t="shared" si="8"/>
        <v>11592724</v>
      </c>
      <c r="M161" s="28"/>
      <c r="N161" s="7"/>
    </row>
    <row r="162" spans="1:14" x14ac:dyDescent="0.2">
      <c r="A162" s="83">
        <v>1</v>
      </c>
      <c r="B162" s="36">
        <v>37.200000000000003</v>
      </c>
      <c r="C162" s="82">
        <f t="shared" si="7"/>
        <v>156315.91397849462</v>
      </c>
      <c r="D162" s="236">
        <v>5814952</v>
      </c>
      <c r="E162" s="56">
        <v>10</v>
      </c>
      <c r="F162" s="36">
        <v>2</v>
      </c>
      <c r="G162" s="56">
        <f t="shared" si="8"/>
        <v>11629904</v>
      </c>
    </row>
    <row r="163" spans="1:14" x14ac:dyDescent="0.2">
      <c r="A163" s="83">
        <v>1</v>
      </c>
      <c r="B163" s="36">
        <v>37.200000000000003</v>
      </c>
      <c r="C163" s="82">
        <f t="shared" si="7"/>
        <v>135826.93548387097</v>
      </c>
      <c r="D163" s="236">
        <v>5052762</v>
      </c>
      <c r="E163" s="56">
        <v>11</v>
      </c>
      <c r="F163" s="36">
        <v>2</v>
      </c>
      <c r="G163" s="56">
        <f t="shared" si="8"/>
        <v>10105524</v>
      </c>
    </row>
    <row r="164" spans="1:14" x14ac:dyDescent="0.2">
      <c r="A164" s="83">
        <v>1</v>
      </c>
      <c r="B164" s="36">
        <v>37.200000000000003</v>
      </c>
      <c r="C164" s="82">
        <f t="shared" si="7"/>
        <v>135826.93548387097</v>
      </c>
      <c r="D164" s="236">
        <v>5052762</v>
      </c>
      <c r="E164" s="56">
        <v>13</v>
      </c>
      <c r="F164" s="36">
        <v>2</v>
      </c>
      <c r="G164" s="56">
        <f t="shared" si="8"/>
        <v>10105524</v>
      </c>
    </row>
    <row r="165" spans="1:14" x14ac:dyDescent="0.2">
      <c r="A165" s="83">
        <v>1</v>
      </c>
      <c r="B165" s="36">
        <v>37.200000000000003</v>
      </c>
      <c r="C165" s="82">
        <f t="shared" si="7"/>
        <v>136326.66666666666</v>
      </c>
      <c r="D165" s="236">
        <v>5071352</v>
      </c>
      <c r="E165" s="56">
        <v>13</v>
      </c>
      <c r="F165" s="36">
        <v>2</v>
      </c>
      <c r="G165" s="56">
        <f t="shared" si="8"/>
        <v>10142704</v>
      </c>
    </row>
    <row r="166" spans="1:14" x14ac:dyDescent="0.2">
      <c r="A166" s="83">
        <v>1</v>
      </c>
      <c r="B166" s="36">
        <v>37.200000000000003</v>
      </c>
      <c r="C166" s="82">
        <f>D166/B166</f>
        <v>156315.91397849462</v>
      </c>
      <c r="D166" s="236">
        <v>5814952</v>
      </c>
      <c r="E166" s="56">
        <v>11</v>
      </c>
      <c r="F166" s="36">
        <v>1</v>
      </c>
      <c r="G166" s="56">
        <f t="shared" si="8"/>
        <v>5814952</v>
      </c>
    </row>
    <row r="167" spans="1:14" x14ac:dyDescent="0.2">
      <c r="A167" s="83">
        <v>1</v>
      </c>
      <c r="B167" s="36">
        <v>37.200000000000003</v>
      </c>
      <c r="C167" s="82">
        <f>D167/B167</f>
        <v>135826.93548387097</v>
      </c>
      <c r="D167" s="236">
        <v>5052762</v>
      </c>
      <c r="E167" s="56">
        <v>14</v>
      </c>
      <c r="F167" s="36">
        <v>2</v>
      </c>
      <c r="G167" s="56">
        <f t="shared" si="8"/>
        <v>10105524</v>
      </c>
      <c r="J167" s="37"/>
    </row>
    <row r="168" spans="1:14" x14ac:dyDescent="0.2">
      <c r="A168" s="83">
        <v>1</v>
      </c>
      <c r="B168" s="36">
        <v>38.6</v>
      </c>
      <c r="C168" s="82">
        <f>D168/B168</f>
        <v>135723.96373056993</v>
      </c>
      <c r="D168" s="236">
        <v>5238945</v>
      </c>
      <c r="E168" s="56">
        <v>14</v>
      </c>
      <c r="F168" s="36">
        <v>2</v>
      </c>
      <c r="G168" s="56">
        <f t="shared" si="8"/>
        <v>10477890</v>
      </c>
      <c r="J168" s="37"/>
    </row>
    <row r="169" spans="1:14" x14ac:dyDescent="0.2">
      <c r="A169" s="83">
        <v>1</v>
      </c>
      <c r="B169" s="36">
        <v>38.6</v>
      </c>
      <c r="C169" s="82">
        <f t="shared" si="7"/>
        <v>135723.96373056993</v>
      </c>
      <c r="D169" s="236">
        <v>5238945</v>
      </c>
      <c r="E169" s="56">
        <v>11</v>
      </c>
      <c r="F169" s="36">
        <v>1</v>
      </c>
      <c r="G169" s="56">
        <f t="shared" si="8"/>
        <v>5238945</v>
      </c>
      <c r="J169" s="37"/>
    </row>
    <row r="170" spans="1:14" x14ac:dyDescent="0.2">
      <c r="A170" s="83">
        <v>1</v>
      </c>
      <c r="B170" s="36">
        <v>38.6</v>
      </c>
      <c r="C170" s="82">
        <f>D170/B170</f>
        <v>135723.96373056993</v>
      </c>
      <c r="D170" s="236">
        <v>5238945</v>
      </c>
      <c r="E170" s="56">
        <v>12</v>
      </c>
      <c r="F170" s="36">
        <v>1</v>
      </c>
      <c r="G170" s="56">
        <f t="shared" si="8"/>
        <v>5238945</v>
      </c>
      <c r="J170" s="37"/>
    </row>
    <row r="171" spans="1:14" x14ac:dyDescent="0.2">
      <c r="A171" s="83">
        <v>1</v>
      </c>
      <c r="B171" s="36">
        <v>38.6</v>
      </c>
      <c r="C171" s="82">
        <f>D171/B171</f>
        <v>135723.96373056993</v>
      </c>
      <c r="D171" s="236">
        <v>5238945</v>
      </c>
      <c r="E171" s="56">
        <v>13</v>
      </c>
      <c r="F171" s="36">
        <v>1</v>
      </c>
      <c r="G171" s="56">
        <f t="shared" si="8"/>
        <v>5238945</v>
      </c>
      <c r="J171" s="37"/>
    </row>
    <row r="172" spans="1:14" x14ac:dyDescent="0.2">
      <c r="A172" s="83">
        <v>1</v>
      </c>
      <c r="B172" s="36">
        <v>38.6</v>
      </c>
      <c r="C172" s="82">
        <f>D172/B172</f>
        <v>130430.82901554403</v>
      </c>
      <c r="D172" s="236">
        <v>5034630</v>
      </c>
      <c r="E172" s="56">
        <v>2</v>
      </c>
      <c r="F172" s="36">
        <v>1</v>
      </c>
      <c r="G172" s="56">
        <f t="shared" si="8"/>
        <v>5034630</v>
      </c>
      <c r="J172" s="37"/>
    </row>
    <row r="173" spans="1:14" x14ac:dyDescent="0.2">
      <c r="A173" s="83">
        <v>1</v>
      </c>
      <c r="B173" s="36">
        <v>38.6</v>
      </c>
      <c r="C173" s="82">
        <f>D173/B173</f>
        <v>153600.77720207252</v>
      </c>
      <c r="D173" s="236">
        <v>5928990</v>
      </c>
      <c r="E173" s="56">
        <v>6</v>
      </c>
      <c r="F173" s="36">
        <v>1</v>
      </c>
      <c r="G173" s="56">
        <f t="shared" si="8"/>
        <v>5928990</v>
      </c>
      <c r="J173" s="37"/>
    </row>
    <row r="174" spans="1:14" x14ac:dyDescent="0.2">
      <c r="A174" s="83">
        <v>1</v>
      </c>
      <c r="B174" s="36">
        <v>40.6</v>
      </c>
      <c r="C174" s="82">
        <f t="shared" si="7"/>
        <v>127342.98029556649</v>
      </c>
      <c r="D174" s="236">
        <v>5170125</v>
      </c>
      <c r="E174" s="56">
        <v>7</v>
      </c>
      <c r="F174" s="36">
        <v>1</v>
      </c>
      <c r="G174" s="56">
        <f t="shared" si="8"/>
        <v>5170125</v>
      </c>
      <c r="J174" s="37"/>
    </row>
    <row r="175" spans="1:14" x14ac:dyDescent="0.2">
      <c r="A175" s="83">
        <v>1</v>
      </c>
      <c r="B175" s="36">
        <v>40.6</v>
      </c>
      <c r="C175" s="82">
        <f t="shared" si="7"/>
        <v>157306.03448275861</v>
      </c>
      <c r="D175" s="236">
        <v>6386625</v>
      </c>
      <c r="E175" s="56">
        <v>9</v>
      </c>
      <c r="F175" s="36">
        <v>1</v>
      </c>
      <c r="G175" s="56">
        <f t="shared" si="8"/>
        <v>6386625</v>
      </c>
      <c r="J175" s="37"/>
    </row>
    <row r="176" spans="1:14" x14ac:dyDescent="0.2">
      <c r="A176" s="83">
        <v>1</v>
      </c>
      <c r="B176" s="36">
        <v>40.6</v>
      </c>
      <c r="C176" s="82">
        <f t="shared" si="7"/>
        <v>127342.98029556649</v>
      </c>
      <c r="D176" s="236">
        <v>5170125</v>
      </c>
      <c r="E176" s="56">
        <v>8</v>
      </c>
      <c r="F176" s="36">
        <v>1</v>
      </c>
      <c r="G176" s="56">
        <f t="shared" si="8"/>
        <v>5170125</v>
      </c>
    </row>
    <row r="177" spans="1:9" x14ac:dyDescent="0.2">
      <c r="A177" s="83">
        <v>1</v>
      </c>
      <c r="B177" s="36">
        <v>40.6</v>
      </c>
      <c r="C177" s="82">
        <f t="shared" si="7"/>
        <v>128441.62561576354</v>
      </c>
      <c r="D177" s="236">
        <v>5214730</v>
      </c>
      <c r="E177" s="56">
        <v>13</v>
      </c>
      <c r="F177" s="36">
        <v>1</v>
      </c>
      <c r="G177" s="56">
        <f t="shared" si="8"/>
        <v>5214730</v>
      </c>
    </row>
    <row r="178" spans="1:9" x14ac:dyDescent="0.2">
      <c r="A178" s="83">
        <v>1</v>
      </c>
      <c r="B178" s="36">
        <v>40.6</v>
      </c>
      <c r="C178" s="82">
        <f t="shared" si="7"/>
        <v>128441.62561576354</v>
      </c>
      <c r="D178" s="236">
        <v>5214730</v>
      </c>
      <c r="E178" s="56">
        <v>12</v>
      </c>
      <c r="F178" s="36">
        <v>1</v>
      </c>
      <c r="G178" s="56">
        <f t="shared" si="8"/>
        <v>5214730</v>
      </c>
      <c r="I178" s="38"/>
    </row>
    <row r="179" spans="1:9" x14ac:dyDescent="0.2">
      <c r="A179" s="83">
        <v>1</v>
      </c>
      <c r="B179" s="36">
        <v>40.6</v>
      </c>
      <c r="C179" s="82">
        <f t="shared" si="7"/>
        <v>148416.99507389162</v>
      </c>
      <c r="D179" s="236">
        <v>6025730</v>
      </c>
      <c r="E179" s="56">
        <v>10</v>
      </c>
      <c r="F179" s="36">
        <v>1</v>
      </c>
      <c r="G179" s="56">
        <f t="shared" si="8"/>
        <v>6025730</v>
      </c>
      <c r="I179" s="38"/>
    </row>
    <row r="180" spans="1:9" x14ac:dyDescent="0.2">
      <c r="A180" s="83">
        <v>1</v>
      </c>
      <c r="B180" s="36">
        <v>40.6</v>
      </c>
      <c r="C180" s="82">
        <f t="shared" si="7"/>
        <v>148416.99507389162</v>
      </c>
      <c r="D180" s="236">
        <v>6025730</v>
      </c>
      <c r="E180" s="56">
        <v>11</v>
      </c>
      <c r="F180" s="36">
        <v>1</v>
      </c>
      <c r="G180" s="56">
        <f t="shared" si="8"/>
        <v>6025730</v>
      </c>
      <c r="I180" s="38"/>
    </row>
    <row r="181" spans="1:9" x14ac:dyDescent="0.2">
      <c r="A181" s="83">
        <v>1</v>
      </c>
      <c r="B181" s="36">
        <v>50.1</v>
      </c>
      <c r="C181" s="82">
        <f t="shared" si="7"/>
        <v>117952.89421157684</v>
      </c>
      <c r="D181" s="236">
        <v>5909440</v>
      </c>
      <c r="E181" s="56">
        <v>3</v>
      </c>
      <c r="F181" s="36">
        <v>1</v>
      </c>
      <c r="G181" s="56">
        <f t="shared" si="8"/>
        <v>5909440</v>
      </c>
      <c r="I181" s="38"/>
    </row>
    <row r="182" spans="1:9" x14ac:dyDescent="0.2">
      <c r="A182" s="83">
        <v>1</v>
      </c>
      <c r="B182" s="36">
        <v>50.1</v>
      </c>
      <c r="C182" s="82">
        <f t="shared" si="7"/>
        <v>117952.89421157684</v>
      </c>
      <c r="D182" s="236">
        <v>5909440</v>
      </c>
      <c r="E182" s="56">
        <v>2</v>
      </c>
      <c r="F182" s="36">
        <v>1</v>
      </c>
      <c r="G182" s="56">
        <f t="shared" si="8"/>
        <v>5909440</v>
      </c>
      <c r="I182" s="38"/>
    </row>
    <row r="183" spans="1:9" x14ac:dyDescent="0.2">
      <c r="A183" s="83">
        <v>1</v>
      </c>
      <c r="B183" s="36">
        <v>50.1</v>
      </c>
      <c r="C183" s="82">
        <f t="shared" si="7"/>
        <v>117952.89421157684</v>
      </c>
      <c r="D183" s="236">
        <v>5909440</v>
      </c>
      <c r="E183" s="56">
        <v>4</v>
      </c>
      <c r="F183" s="36">
        <v>1</v>
      </c>
      <c r="G183" s="56">
        <f t="shared" si="8"/>
        <v>5909440</v>
      </c>
      <c r="I183" s="38"/>
    </row>
    <row r="184" spans="1:9" x14ac:dyDescent="0.2">
      <c r="A184" s="83">
        <v>1</v>
      </c>
      <c r="B184" s="36">
        <v>50.1</v>
      </c>
      <c r="C184" s="82">
        <f t="shared" si="7"/>
        <v>139944.1117764471</v>
      </c>
      <c r="D184" s="236">
        <v>7011200</v>
      </c>
      <c r="E184" s="56">
        <v>6</v>
      </c>
      <c r="F184" s="36">
        <v>1</v>
      </c>
      <c r="G184" s="56">
        <f t="shared" si="8"/>
        <v>7011200</v>
      </c>
      <c r="I184" s="38"/>
    </row>
    <row r="185" spans="1:9" x14ac:dyDescent="0.2">
      <c r="A185" s="83">
        <v>1</v>
      </c>
      <c r="B185" s="36">
        <v>50.1</v>
      </c>
      <c r="C185" s="82">
        <f t="shared" si="7"/>
        <v>139944.1117764471</v>
      </c>
      <c r="D185" s="236">
        <v>7011200</v>
      </c>
      <c r="E185" s="56">
        <v>9</v>
      </c>
      <c r="F185" s="36">
        <v>1</v>
      </c>
      <c r="G185" s="56">
        <f t="shared" si="8"/>
        <v>7011200</v>
      </c>
      <c r="I185" s="38"/>
    </row>
    <row r="186" spans="1:9" x14ac:dyDescent="0.2">
      <c r="A186" s="83">
        <v>1</v>
      </c>
      <c r="B186" s="36">
        <v>50.1</v>
      </c>
      <c r="C186" s="82">
        <f t="shared" si="7"/>
        <v>119952.09580838322</v>
      </c>
      <c r="D186" s="236">
        <v>6009600</v>
      </c>
      <c r="E186" s="56">
        <v>8</v>
      </c>
      <c r="F186" s="36">
        <v>1</v>
      </c>
      <c r="G186" s="56">
        <f t="shared" si="8"/>
        <v>6009600</v>
      </c>
      <c r="I186" s="38"/>
    </row>
    <row r="187" spans="1:9" x14ac:dyDescent="0.2">
      <c r="A187" s="83">
        <v>1</v>
      </c>
      <c r="B187" s="36">
        <v>50.1</v>
      </c>
      <c r="C187" s="82">
        <f t="shared" si="7"/>
        <v>122950.89820359281</v>
      </c>
      <c r="D187" s="236">
        <v>6159840</v>
      </c>
      <c r="E187" s="56">
        <v>13</v>
      </c>
      <c r="F187" s="36">
        <v>1</v>
      </c>
      <c r="G187" s="56">
        <f t="shared" si="8"/>
        <v>6159840</v>
      </c>
      <c r="I187" s="38"/>
    </row>
    <row r="188" spans="1:9" x14ac:dyDescent="0.2">
      <c r="A188" s="83">
        <v>1</v>
      </c>
      <c r="B188" s="36">
        <v>50.1</v>
      </c>
      <c r="C188" s="82">
        <f t="shared" si="7"/>
        <v>122950.89820359281</v>
      </c>
      <c r="D188" s="236">
        <v>6159840</v>
      </c>
      <c r="E188" s="56">
        <v>12</v>
      </c>
      <c r="F188" s="36">
        <v>1</v>
      </c>
      <c r="G188" s="56">
        <f t="shared" si="8"/>
        <v>6159840</v>
      </c>
      <c r="I188" s="38"/>
    </row>
    <row r="189" spans="1:9" x14ac:dyDescent="0.2">
      <c r="A189" s="83">
        <v>1</v>
      </c>
      <c r="B189" s="36">
        <v>50.1</v>
      </c>
      <c r="C189" s="82">
        <f t="shared" si="7"/>
        <v>139944.1117764471</v>
      </c>
      <c r="D189" s="236">
        <v>7011200</v>
      </c>
      <c r="E189" s="56">
        <v>10</v>
      </c>
      <c r="F189" s="36">
        <v>1</v>
      </c>
      <c r="G189" s="56">
        <f t="shared" si="8"/>
        <v>7011200</v>
      </c>
      <c r="I189" s="38"/>
    </row>
    <row r="190" spans="1:9" x14ac:dyDescent="0.2">
      <c r="A190" s="83">
        <v>1</v>
      </c>
      <c r="B190" s="36">
        <v>50.1</v>
      </c>
      <c r="C190" s="82">
        <f t="shared" si="7"/>
        <v>119952.09580838322</v>
      </c>
      <c r="D190" s="236">
        <v>6009600</v>
      </c>
      <c r="E190" s="56">
        <v>7</v>
      </c>
      <c r="F190" s="36">
        <v>1</v>
      </c>
      <c r="G190" s="56">
        <f t="shared" si="8"/>
        <v>6009600</v>
      </c>
      <c r="I190" s="38"/>
    </row>
    <row r="191" spans="1:9" x14ac:dyDescent="0.2">
      <c r="A191" s="83">
        <v>1</v>
      </c>
      <c r="B191" s="36">
        <v>50.1</v>
      </c>
      <c r="C191" s="82">
        <f t="shared" si="7"/>
        <v>122950.89820359281</v>
      </c>
      <c r="D191" s="236">
        <v>6159840</v>
      </c>
      <c r="E191" s="56">
        <v>14</v>
      </c>
      <c r="F191" s="36">
        <v>1</v>
      </c>
      <c r="G191" s="56">
        <f t="shared" si="8"/>
        <v>6159840</v>
      </c>
      <c r="I191" s="38"/>
    </row>
    <row r="192" spans="1:9" x14ac:dyDescent="0.2">
      <c r="A192" s="83">
        <v>1</v>
      </c>
      <c r="B192" s="36">
        <v>50.1</v>
      </c>
      <c r="C192" s="82">
        <f t="shared" si="7"/>
        <v>142942.91417165668</v>
      </c>
      <c r="D192" s="236">
        <v>7161440</v>
      </c>
      <c r="E192" s="56">
        <v>11</v>
      </c>
      <c r="F192" s="36">
        <v>1</v>
      </c>
      <c r="G192" s="56">
        <f t="shared" si="8"/>
        <v>7161440</v>
      </c>
      <c r="I192" s="38"/>
    </row>
    <row r="193" spans="1:9" x14ac:dyDescent="0.2">
      <c r="A193" s="83">
        <v>1</v>
      </c>
      <c r="B193" s="36">
        <v>50.7</v>
      </c>
      <c r="C193" s="82">
        <f t="shared" si="7"/>
        <v>135000</v>
      </c>
      <c r="D193" s="236">
        <v>6844500</v>
      </c>
      <c r="E193" s="56">
        <v>1</v>
      </c>
      <c r="F193" s="36">
        <v>1</v>
      </c>
      <c r="G193" s="56">
        <f t="shared" si="8"/>
        <v>6844500</v>
      </c>
      <c r="I193" s="38"/>
    </row>
    <row r="194" spans="1:9" x14ac:dyDescent="0.2">
      <c r="A194" s="83">
        <v>2</v>
      </c>
      <c r="B194" s="36">
        <v>55.1</v>
      </c>
      <c r="C194" s="82">
        <f t="shared" si="7"/>
        <v>119678.27586206896</v>
      </c>
      <c r="D194" s="236">
        <v>6594273</v>
      </c>
      <c r="E194" s="56">
        <v>9</v>
      </c>
      <c r="F194" s="36">
        <v>1</v>
      </c>
      <c r="G194" s="56">
        <f t="shared" si="8"/>
        <v>6594273</v>
      </c>
      <c r="I194" s="38"/>
    </row>
    <row r="195" spans="1:9" x14ac:dyDescent="0.2">
      <c r="A195" s="83">
        <v>2</v>
      </c>
      <c r="B195" s="36">
        <v>55.1</v>
      </c>
      <c r="C195" s="82">
        <f t="shared" si="7"/>
        <v>119678.27586206896</v>
      </c>
      <c r="D195" s="236">
        <v>6594273</v>
      </c>
      <c r="E195" s="56">
        <v>8</v>
      </c>
      <c r="F195" s="36">
        <v>1</v>
      </c>
      <c r="G195" s="56">
        <f t="shared" si="8"/>
        <v>6594273</v>
      </c>
      <c r="I195" s="38"/>
    </row>
    <row r="196" spans="1:9" x14ac:dyDescent="0.2">
      <c r="A196" s="83">
        <v>2</v>
      </c>
      <c r="B196" s="36">
        <v>55.1</v>
      </c>
      <c r="C196" s="82">
        <f t="shared" si="7"/>
        <v>119678.27586206896</v>
      </c>
      <c r="D196" s="236">
        <v>6594273</v>
      </c>
      <c r="E196" s="56">
        <v>7</v>
      </c>
      <c r="F196" s="36">
        <v>1</v>
      </c>
      <c r="G196" s="56">
        <f t="shared" si="8"/>
        <v>6594273</v>
      </c>
      <c r="I196" s="38"/>
    </row>
    <row r="197" spans="1:9" x14ac:dyDescent="0.2">
      <c r="A197" s="83">
        <v>2</v>
      </c>
      <c r="B197" s="36">
        <v>55.1</v>
      </c>
      <c r="C197" s="82">
        <f t="shared" si="7"/>
        <v>139674.64609800364</v>
      </c>
      <c r="D197" s="236">
        <v>7696073</v>
      </c>
      <c r="E197" s="56">
        <v>6</v>
      </c>
      <c r="F197" s="36">
        <v>1</v>
      </c>
      <c r="G197" s="56">
        <f t="shared" si="8"/>
        <v>7696073</v>
      </c>
      <c r="I197" s="38"/>
    </row>
    <row r="198" spans="1:9" x14ac:dyDescent="0.2">
      <c r="A198" s="83">
        <v>2</v>
      </c>
      <c r="B198" s="36">
        <v>55.1</v>
      </c>
      <c r="C198" s="82">
        <f t="shared" si="7"/>
        <v>139674.64609800364</v>
      </c>
      <c r="D198" s="236">
        <v>7696073</v>
      </c>
      <c r="E198" s="56">
        <v>6</v>
      </c>
      <c r="F198" s="36">
        <v>1</v>
      </c>
      <c r="G198" s="56">
        <f t="shared" si="8"/>
        <v>7696073</v>
      </c>
      <c r="I198" s="38"/>
    </row>
    <row r="199" spans="1:9" x14ac:dyDescent="0.2">
      <c r="A199" s="83">
        <v>2</v>
      </c>
      <c r="B199" s="36">
        <v>55.1</v>
      </c>
      <c r="C199" s="82">
        <f t="shared" si="7"/>
        <v>119678.27586206896</v>
      </c>
      <c r="D199" s="236">
        <v>6594273</v>
      </c>
      <c r="E199" s="56">
        <v>9</v>
      </c>
      <c r="F199" s="36">
        <v>1</v>
      </c>
      <c r="G199" s="56">
        <f t="shared" si="8"/>
        <v>6594273</v>
      </c>
      <c r="I199" s="38"/>
    </row>
    <row r="200" spans="1:9" x14ac:dyDescent="0.2">
      <c r="A200" s="83">
        <v>2</v>
      </c>
      <c r="B200" s="36">
        <v>55.1</v>
      </c>
      <c r="C200" s="82">
        <f t="shared" si="7"/>
        <v>119678.27586206896</v>
      </c>
      <c r="D200" s="236">
        <v>6594273</v>
      </c>
      <c r="E200" s="56">
        <v>8</v>
      </c>
      <c r="F200" s="36">
        <v>1</v>
      </c>
      <c r="G200" s="56">
        <f t="shared" si="8"/>
        <v>6594273</v>
      </c>
      <c r="I200" s="38"/>
    </row>
    <row r="201" spans="1:9" x14ac:dyDescent="0.2">
      <c r="A201" s="83">
        <v>2</v>
      </c>
      <c r="B201" s="36">
        <v>55.1</v>
      </c>
      <c r="C201" s="82">
        <f t="shared" si="7"/>
        <v>119678.27586206896</v>
      </c>
      <c r="D201" s="236">
        <v>6594273</v>
      </c>
      <c r="E201" s="56">
        <v>7</v>
      </c>
      <c r="F201" s="36">
        <v>1</v>
      </c>
      <c r="G201" s="56">
        <f t="shared" si="8"/>
        <v>6594273</v>
      </c>
      <c r="I201" s="38"/>
    </row>
    <row r="202" spans="1:9" x14ac:dyDescent="0.2">
      <c r="A202" s="83">
        <v>2</v>
      </c>
      <c r="B202" s="36">
        <v>55.1</v>
      </c>
      <c r="C202" s="82">
        <f t="shared" si="7"/>
        <v>123877.51361161524</v>
      </c>
      <c r="D202" s="236">
        <v>6825651</v>
      </c>
      <c r="E202" s="56">
        <v>10</v>
      </c>
      <c r="F202" s="36">
        <v>1</v>
      </c>
      <c r="G202" s="56">
        <f t="shared" si="8"/>
        <v>6825651</v>
      </c>
      <c r="I202" s="38"/>
    </row>
    <row r="203" spans="1:9" x14ac:dyDescent="0.2">
      <c r="A203" s="83">
        <v>2</v>
      </c>
      <c r="B203" s="36">
        <v>55.1</v>
      </c>
      <c r="C203" s="82">
        <f t="shared" si="7"/>
        <v>123877.51361161524</v>
      </c>
      <c r="D203" s="236">
        <v>6825651</v>
      </c>
      <c r="E203" s="56">
        <v>13</v>
      </c>
      <c r="F203" s="36">
        <v>1</v>
      </c>
      <c r="G203" s="56">
        <f t="shared" si="8"/>
        <v>6825651</v>
      </c>
      <c r="I203" s="38"/>
    </row>
    <row r="204" spans="1:9" x14ac:dyDescent="0.2">
      <c r="A204" s="83">
        <v>2</v>
      </c>
      <c r="B204" s="36">
        <v>55.1</v>
      </c>
      <c r="C204" s="82">
        <f t="shared" si="7"/>
        <v>123877.51361161524</v>
      </c>
      <c r="D204" s="236">
        <v>6825651</v>
      </c>
      <c r="E204" s="56">
        <v>13</v>
      </c>
      <c r="F204" s="36">
        <v>1</v>
      </c>
      <c r="G204" s="56">
        <f t="shared" si="8"/>
        <v>6825651</v>
      </c>
      <c r="I204" s="38"/>
    </row>
    <row r="205" spans="1:9" x14ac:dyDescent="0.2">
      <c r="A205" s="83">
        <v>2</v>
      </c>
      <c r="B205" s="36">
        <v>55.1</v>
      </c>
      <c r="C205" s="82">
        <f t="shared" si="7"/>
        <v>123877.51361161524</v>
      </c>
      <c r="D205" s="236">
        <v>6825651</v>
      </c>
      <c r="E205" s="56">
        <v>10</v>
      </c>
      <c r="F205" s="36">
        <v>1</v>
      </c>
      <c r="G205" s="56">
        <f t="shared" si="8"/>
        <v>6825651</v>
      </c>
      <c r="I205" s="38"/>
    </row>
    <row r="206" spans="1:9" x14ac:dyDescent="0.2">
      <c r="A206" s="83">
        <v>2</v>
      </c>
      <c r="B206" s="36">
        <v>55.1</v>
      </c>
      <c r="C206" s="82">
        <f t="shared" si="7"/>
        <v>123877.51361161524</v>
      </c>
      <c r="D206" s="236">
        <v>6825651</v>
      </c>
      <c r="E206" s="56">
        <v>12</v>
      </c>
      <c r="F206" s="36">
        <v>1</v>
      </c>
      <c r="G206" s="56">
        <f t="shared" si="8"/>
        <v>6825651</v>
      </c>
      <c r="I206" s="38"/>
    </row>
    <row r="207" spans="1:9" x14ac:dyDescent="0.2">
      <c r="A207" s="83">
        <v>2</v>
      </c>
      <c r="B207" s="36">
        <v>55.1</v>
      </c>
      <c r="C207" s="82">
        <f t="shared" si="7"/>
        <v>123877.51361161524</v>
      </c>
      <c r="D207" s="236">
        <v>6825651</v>
      </c>
      <c r="E207" s="56">
        <v>14</v>
      </c>
      <c r="F207" s="36">
        <v>1</v>
      </c>
      <c r="G207" s="56">
        <f t="shared" si="8"/>
        <v>6825651</v>
      </c>
      <c r="I207" s="38"/>
    </row>
    <row r="208" spans="1:9" x14ac:dyDescent="0.2">
      <c r="A208" s="83">
        <v>2</v>
      </c>
      <c r="B208" s="36">
        <v>55.1</v>
      </c>
      <c r="C208" s="82">
        <f t="shared" si="7"/>
        <v>123877.51361161524</v>
      </c>
      <c r="D208" s="236">
        <v>6825651</v>
      </c>
      <c r="E208" s="56">
        <v>11</v>
      </c>
      <c r="F208" s="36">
        <v>2</v>
      </c>
      <c r="G208" s="56">
        <f t="shared" si="8"/>
        <v>13651302</v>
      </c>
      <c r="I208" s="38"/>
    </row>
    <row r="209" spans="1:9" x14ac:dyDescent="0.2">
      <c r="A209" s="83">
        <v>2</v>
      </c>
      <c r="B209" s="36">
        <v>55.1</v>
      </c>
      <c r="C209" s="82">
        <f t="shared" si="7"/>
        <v>123877.51361161524</v>
      </c>
      <c r="D209" s="236">
        <v>6825651</v>
      </c>
      <c r="E209" s="56">
        <v>11</v>
      </c>
      <c r="F209" s="36">
        <v>2</v>
      </c>
      <c r="G209" s="56">
        <f t="shared" si="8"/>
        <v>13651302</v>
      </c>
      <c r="I209" s="38"/>
    </row>
    <row r="210" spans="1:9" x14ac:dyDescent="0.2">
      <c r="A210" s="83">
        <v>2</v>
      </c>
      <c r="B210" s="36">
        <v>55.1</v>
      </c>
      <c r="C210" s="82">
        <f t="shared" si="7"/>
        <v>123877.51361161524</v>
      </c>
      <c r="D210" s="236">
        <v>6825651</v>
      </c>
      <c r="E210" s="56">
        <v>12</v>
      </c>
      <c r="F210" s="36">
        <v>1</v>
      </c>
      <c r="G210" s="56">
        <f t="shared" si="8"/>
        <v>6825651</v>
      </c>
      <c r="I210" s="38"/>
    </row>
    <row r="211" spans="1:9" x14ac:dyDescent="0.2">
      <c r="A211" s="83">
        <v>2</v>
      </c>
      <c r="B211" s="36">
        <v>55.1</v>
      </c>
      <c r="C211" s="82">
        <f t="shared" si="7"/>
        <v>123877.51361161524</v>
      </c>
      <c r="D211" s="236">
        <v>6825651</v>
      </c>
      <c r="E211" s="56">
        <v>14</v>
      </c>
      <c r="F211" s="36">
        <v>1</v>
      </c>
      <c r="G211" s="56">
        <f t="shared" si="8"/>
        <v>6825651</v>
      </c>
      <c r="I211" s="38"/>
    </row>
    <row r="212" spans="1:9" x14ac:dyDescent="0.2">
      <c r="A212" s="83">
        <v>2</v>
      </c>
      <c r="B212" s="36">
        <v>55.6</v>
      </c>
      <c r="C212" s="82">
        <f t="shared" si="7"/>
        <v>136477.1582733813</v>
      </c>
      <c r="D212" s="236">
        <v>7588130</v>
      </c>
      <c r="E212" s="56">
        <v>1</v>
      </c>
      <c r="F212" s="36">
        <v>1</v>
      </c>
      <c r="G212" s="56">
        <f t="shared" si="8"/>
        <v>7588130</v>
      </c>
      <c r="I212" s="38"/>
    </row>
    <row r="213" spans="1:9" x14ac:dyDescent="0.2">
      <c r="A213" s="83">
        <v>2</v>
      </c>
      <c r="B213" s="36">
        <v>55.6</v>
      </c>
      <c r="C213" s="82">
        <f t="shared" si="7"/>
        <v>136477.1582733813</v>
      </c>
      <c r="D213" s="236">
        <v>7588130</v>
      </c>
      <c r="E213" s="56">
        <v>1</v>
      </c>
      <c r="F213" s="36">
        <v>1</v>
      </c>
      <c r="G213" s="56">
        <f t="shared" si="8"/>
        <v>7588130</v>
      </c>
      <c r="I213" s="38"/>
    </row>
    <row r="214" spans="1:9" x14ac:dyDescent="0.2">
      <c r="A214" s="83">
        <v>1</v>
      </c>
      <c r="B214" s="36">
        <v>57.5</v>
      </c>
      <c r="C214" s="82">
        <f t="shared" si="7"/>
        <v>113140.93913043478</v>
      </c>
      <c r="D214" s="236">
        <v>6505604</v>
      </c>
      <c r="E214" s="56">
        <v>2</v>
      </c>
      <c r="F214" s="36">
        <v>1</v>
      </c>
      <c r="G214" s="56">
        <f t="shared" si="8"/>
        <v>6505604</v>
      </c>
      <c r="I214" s="38"/>
    </row>
    <row r="215" spans="1:9" x14ac:dyDescent="0.2">
      <c r="A215" s="83">
        <v>1</v>
      </c>
      <c r="B215" s="36">
        <v>57.5</v>
      </c>
      <c r="C215" s="82">
        <f t="shared" si="7"/>
        <v>113140.93913043478</v>
      </c>
      <c r="D215" s="236">
        <v>6505604</v>
      </c>
      <c r="E215" s="56">
        <v>3</v>
      </c>
      <c r="F215" s="36">
        <v>1</v>
      </c>
      <c r="G215" s="56">
        <f t="shared" si="8"/>
        <v>6505604</v>
      </c>
      <c r="I215" s="38"/>
    </row>
    <row r="216" spans="1:9" x14ac:dyDescent="0.2">
      <c r="A216" s="83">
        <v>1</v>
      </c>
      <c r="B216" s="36">
        <v>57.5</v>
      </c>
      <c r="C216" s="82">
        <f t="shared" si="7"/>
        <v>114840.05217391305</v>
      </c>
      <c r="D216" s="236">
        <v>6603303</v>
      </c>
      <c r="E216" s="56">
        <v>9</v>
      </c>
      <c r="F216" s="36">
        <v>1</v>
      </c>
      <c r="G216" s="56">
        <f t="shared" si="8"/>
        <v>6603303</v>
      </c>
      <c r="I216" s="38"/>
    </row>
    <row r="217" spans="1:9" x14ac:dyDescent="0.2">
      <c r="A217" s="83">
        <v>1</v>
      </c>
      <c r="B217" s="36">
        <v>57.5</v>
      </c>
      <c r="C217" s="82">
        <f t="shared" si="7"/>
        <v>118837.96521739131</v>
      </c>
      <c r="D217" s="236">
        <v>6833183</v>
      </c>
      <c r="E217" s="56">
        <v>11</v>
      </c>
      <c r="F217" s="36">
        <v>1</v>
      </c>
      <c r="G217" s="56">
        <f t="shared" si="8"/>
        <v>6833183</v>
      </c>
      <c r="I217" s="38"/>
    </row>
    <row r="218" spans="1:9" x14ac:dyDescent="0.2">
      <c r="A218" s="83">
        <v>1</v>
      </c>
      <c r="B218" s="36">
        <v>57.5</v>
      </c>
      <c r="C218" s="82">
        <f t="shared" ref="C218:C238" si="9">D218/B218</f>
        <v>118837.96521739131</v>
      </c>
      <c r="D218" s="236">
        <v>6833183</v>
      </c>
      <c r="E218" s="56">
        <v>14</v>
      </c>
      <c r="F218" s="36">
        <v>1</v>
      </c>
      <c r="G218" s="56">
        <f t="shared" si="8"/>
        <v>6833183</v>
      </c>
      <c r="I218" s="38"/>
    </row>
    <row r="219" spans="1:9" x14ac:dyDescent="0.2">
      <c r="A219" s="83">
        <v>1</v>
      </c>
      <c r="B219" s="36">
        <v>57.5</v>
      </c>
      <c r="C219" s="82">
        <f t="shared" si="9"/>
        <v>118837.96521739131</v>
      </c>
      <c r="D219" s="236">
        <v>6833183</v>
      </c>
      <c r="E219" s="56">
        <v>13</v>
      </c>
      <c r="F219" s="36">
        <v>1</v>
      </c>
      <c r="G219" s="56">
        <f t="shared" ref="G219:G239" si="10">F219*D219</f>
        <v>6833183</v>
      </c>
      <c r="I219" s="38"/>
    </row>
    <row r="220" spans="1:9" x14ac:dyDescent="0.2">
      <c r="A220" s="83">
        <v>1</v>
      </c>
      <c r="B220" s="36">
        <v>57.5</v>
      </c>
      <c r="C220" s="82">
        <f t="shared" si="9"/>
        <v>113140.93913043478</v>
      </c>
      <c r="D220" s="236">
        <v>6505604</v>
      </c>
      <c r="E220" s="56">
        <v>4</v>
      </c>
      <c r="F220" s="36">
        <v>1</v>
      </c>
      <c r="G220" s="56">
        <f t="shared" si="10"/>
        <v>6505604</v>
      </c>
      <c r="I220" s="38"/>
    </row>
    <row r="221" spans="1:9" x14ac:dyDescent="0.2">
      <c r="A221" s="83">
        <v>1</v>
      </c>
      <c r="B221" s="36">
        <v>57.5</v>
      </c>
      <c r="C221" s="82">
        <f t="shared" si="9"/>
        <v>134829.61739130435</v>
      </c>
      <c r="D221" s="236">
        <v>7752703</v>
      </c>
      <c r="E221" s="56">
        <v>6</v>
      </c>
      <c r="F221" s="36">
        <v>1</v>
      </c>
      <c r="G221" s="56">
        <f t="shared" si="10"/>
        <v>7752703</v>
      </c>
      <c r="I221" s="38"/>
    </row>
    <row r="222" spans="1:9" x14ac:dyDescent="0.2">
      <c r="A222" s="83">
        <v>1</v>
      </c>
      <c r="B222" s="36">
        <v>57.5</v>
      </c>
      <c r="C222" s="82">
        <f t="shared" si="9"/>
        <v>114840.05217391305</v>
      </c>
      <c r="D222" s="236">
        <v>6603303</v>
      </c>
      <c r="E222" s="56">
        <v>8</v>
      </c>
      <c r="F222" s="36">
        <v>1</v>
      </c>
      <c r="G222" s="56">
        <f t="shared" si="10"/>
        <v>6603303</v>
      </c>
      <c r="I222" s="38"/>
    </row>
    <row r="223" spans="1:9" x14ac:dyDescent="0.2">
      <c r="A223" s="83">
        <v>1</v>
      </c>
      <c r="B223" s="36">
        <v>57.5</v>
      </c>
      <c r="C223" s="82">
        <f t="shared" si="9"/>
        <v>114840.05217391305</v>
      </c>
      <c r="D223" s="236">
        <v>6603303</v>
      </c>
      <c r="E223" s="56">
        <v>7</v>
      </c>
      <c r="F223" s="36">
        <v>1</v>
      </c>
      <c r="G223" s="56">
        <f t="shared" si="10"/>
        <v>6603303</v>
      </c>
      <c r="I223" s="38"/>
    </row>
    <row r="224" spans="1:9" x14ac:dyDescent="0.2">
      <c r="A224" s="83">
        <v>1</v>
      </c>
      <c r="B224" s="36">
        <v>57.5</v>
      </c>
      <c r="C224" s="82">
        <f t="shared" si="9"/>
        <v>118837.96521739131</v>
      </c>
      <c r="D224" s="236">
        <v>6833183</v>
      </c>
      <c r="E224" s="56">
        <v>10</v>
      </c>
      <c r="F224" s="36">
        <v>1</v>
      </c>
      <c r="G224" s="56">
        <f t="shared" si="10"/>
        <v>6833183</v>
      </c>
      <c r="I224" s="38"/>
    </row>
    <row r="225" spans="1:9" x14ac:dyDescent="0.2">
      <c r="A225" s="83">
        <v>1</v>
      </c>
      <c r="B225" s="36">
        <v>57.5</v>
      </c>
      <c r="C225" s="82">
        <f t="shared" si="9"/>
        <v>118837.96521739131</v>
      </c>
      <c r="D225" s="236">
        <v>6833183</v>
      </c>
      <c r="E225" s="56">
        <v>12</v>
      </c>
      <c r="F225" s="36">
        <v>1</v>
      </c>
      <c r="G225" s="56">
        <f t="shared" si="10"/>
        <v>6833183</v>
      </c>
      <c r="I225" s="38"/>
    </row>
    <row r="226" spans="1:9" x14ac:dyDescent="0.2">
      <c r="A226" s="83">
        <v>2</v>
      </c>
      <c r="B226" s="36">
        <v>57.9</v>
      </c>
      <c r="C226" s="82">
        <f t="shared" si="9"/>
        <v>132345.69948186527</v>
      </c>
      <c r="D226" s="236">
        <v>7662816</v>
      </c>
      <c r="E226" s="56">
        <v>1</v>
      </c>
      <c r="F226" s="36">
        <v>1</v>
      </c>
      <c r="G226" s="56">
        <f t="shared" si="10"/>
        <v>7662816</v>
      </c>
      <c r="I226" s="38"/>
    </row>
    <row r="227" spans="1:9" x14ac:dyDescent="0.2">
      <c r="A227" s="83">
        <v>2</v>
      </c>
      <c r="B227" s="36">
        <v>66</v>
      </c>
      <c r="C227" s="82">
        <f t="shared" si="9"/>
        <v>134644.90909090909</v>
      </c>
      <c r="D227" s="236">
        <v>8886564</v>
      </c>
      <c r="E227" s="56">
        <v>1</v>
      </c>
      <c r="F227" s="36">
        <v>1</v>
      </c>
      <c r="G227" s="56">
        <f t="shared" si="10"/>
        <v>8886564</v>
      </c>
      <c r="I227" s="38"/>
    </row>
    <row r="228" spans="1:9" x14ac:dyDescent="0.2">
      <c r="A228" s="83">
        <v>2</v>
      </c>
      <c r="B228" s="36">
        <v>68.7</v>
      </c>
      <c r="C228" s="82">
        <f t="shared" si="9"/>
        <v>112167.33624454148</v>
      </c>
      <c r="D228" s="236">
        <v>7705896</v>
      </c>
      <c r="E228" s="56">
        <v>7</v>
      </c>
      <c r="F228" s="36">
        <v>1</v>
      </c>
      <c r="G228" s="56">
        <f t="shared" si="10"/>
        <v>7705896</v>
      </c>
      <c r="I228" s="38"/>
    </row>
    <row r="229" spans="1:9" x14ac:dyDescent="0.2">
      <c r="A229" s="83">
        <v>2</v>
      </c>
      <c r="B229" s="36">
        <v>68.7</v>
      </c>
      <c r="C229" s="82">
        <f t="shared" si="9"/>
        <v>132161.51382823871</v>
      </c>
      <c r="D229" s="236">
        <v>9079496</v>
      </c>
      <c r="E229" s="56">
        <v>6</v>
      </c>
      <c r="F229" s="36">
        <v>1</v>
      </c>
      <c r="G229" s="56">
        <f t="shared" si="10"/>
        <v>9079496</v>
      </c>
      <c r="I229" s="38"/>
    </row>
    <row r="230" spans="1:9" x14ac:dyDescent="0.2">
      <c r="A230" s="83">
        <v>2</v>
      </c>
      <c r="B230" s="36">
        <v>68.7</v>
      </c>
      <c r="C230" s="82">
        <f t="shared" si="9"/>
        <v>109268.18049490538</v>
      </c>
      <c r="D230" s="236">
        <v>7506724</v>
      </c>
      <c r="E230" s="56">
        <v>3</v>
      </c>
      <c r="F230" s="36">
        <v>1</v>
      </c>
      <c r="G230" s="56">
        <f t="shared" si="10"/>
        <v>7506724</v>
      </c>
      <c r="I230" s="38"/>
    </row>
    <row r="231" spans="1:9" x14ac:dyDescent="0.2">
      <c r="A231" s="83">
        <v>2</v>
      </c>
      <c r="B231" s="36">
        <v>68.7</v>
      </c>
      <c r="C231" s="82">
        <f>D231/B231</f>
        <v>109268.18049490538</v>
      </c>
      <c r="D231" s="236">
        <v>7506724</v>
      </c>
      <c r="E231" s="56">
        <v>2</v>
      </c>
      <c r="F231" s="36">
        <v>1</v>
      </c>
      <c r="G231" s="56">
        <f t="shared" si="10"/>
        <v>7506724</v>
      </c>
      <c r="I231" s="38"/>
    </row>
    <row r="232" spans="1:9" x14ac:dyDescent="0.2">
      <c r="A232" s="83">
        <v>2</v>
      </c>
      <c r="B232" s="36">
        <v>68.7</v>
      </c>
      <c r="C232" s="82">
        <f t="shared" si="9"/>
        <v>112167.33624454148</v>
      </c>
      <c r="D232" s="236">
        <v>7705896</v>
      </c>
      <c r="E232" s="56">
        <v>9</v>
      </c>
      <c r="F232" s="36">
        <v>1</v>
      </c>
      <c r="G232" s="56">
        <f t="shared" si="10"/>
        <v>7705896</v>
      </c>
      <c r="I232" s="38"/>
    </row>
    <row r="233" spans="1:9" x14ac:dyDescent="0.2">
      <c r="A233" s="83">
        <v>2</v>
      </c>
      <c r="B233" s="36">
        <v>68.7</v>
      </c>
      <c r="C233" s="82">
        <f t="shared" si="9"/>
        <v>112167.33624454148</v>
      </c>
      <c r="D233" s="236">
        <v>7705896</v>
      </c>
      <c r="E233" s="56">
        <v>10</v>
      </c>
      <c r="F233" s="36">
        <v>1</v>
      </c>
      <c r="G233" s="56">
        <f t="shared" si="10"/>
        <v>7705896</v>
      </c>
      <c r="I233" s="38"/>
    </row>
    <row r="234" spans="1:9" x14ac:dyDescent="0.2">
      <c r="A234" s="83">
        <v>2</v>
      </c>
      <c r="B234" s="36">
        <v>68.7</v>
      </c>
      <c r="C234" s="82">
        <f t="shared" si="9"/>
        <v>112167.33624454148</v>
      </c>
      <c r="D234" s="236">
        <v>7705896</v>
      </c>
      <c r="E234" s="56">
        <v>11</v>
      </c>
      <c r="F234" s="36">
        <v>1</v>
      </c>
      <c r="G234" s="56">
        <f t="shared" si="10"/>
        <v>7705896</v>
      </c>
      <c r="I234" s="38"/>
    </row>
    <row r="235" spans="1:9" x14ac:dyDescent="0.2">
      <c r="A235" s="83">
        <v>2</v>
      </c>
      <c r="B235" s="36">
        <v>68.7</v>
      </c>
      <c r="C235" s="82">
        <f t="shared" si="9"/>
        <v>112167.33624454148</v>
      </c>
      <c r="D235" s="236">
        <v>7705896</v>
      </c>
      <c r="E235" s="56">
        <v>12</v>
      </c>
      <c r="F235" s="36">
        <v>1</v>
      </c>
      <c r="G235" s="56">
        <f t="shared" si="10"/>
        <v>7705896</v>
      </c>
      <c r="I235" s="38"/>
    </row>
    <row r="236" spans="1:9" x14ac:dyDescent="0.2">
      <c r="A236" s="83">
        <v>2</v>
      </c>
      <c r="B236" s="36">
        <v>68.7</v>
      </c>
      <c r="C236" s="82">
        <f t="shared" si="9"/>
        <v>112167.33624454148</v>
      </c>
      <c r="D236" s="236">
        <v>7705896</v>
      </c>
      <c r="E236" s="56">
        <v>13</v>
      </c>
      <c r="F236" s="36">
        <v>1</v>
      </c>
      <c r="G236" s="56">
        <f t="shared" si="10"/>
        <v>7705896</v>
      </c>
      <c r="I236" s="38"/>
    </row>
    <row r="237" spans="1:9" x14ac:dyDescent="0.2">
      <c r="A237" s="84">
        <v>2</v>
      </c>
      <c r="B237" s="45">
        <v>68.7</v>
      </c>
      <c r="C237" s="79">
        <f>D237/B237</f>
        <v>112167.33624454148</v>
      </c>
      <c r="D237" s="236">
        <v>7705896</v>
      </c>
      <c r="E237" s="46">
        <v>14</v>
      </c>
      <c r="F237" s="45">
        <v>1</v>
      </c>
      <c r="G237" s="45">
        <f t="shared" si="10"/>
        <v>7705896</v>
      </c>
      <c r="I237" s="38"/>
    </row>
    <row r="238" spans="1:9" x14ac:dyDescent="0.2">
      <c r="A238" s="45"/>
      <c r="B238" s="45"/>
      <c r="C238" s="79"/>
      <c r="D238" s="381"/>
      <c r="I238" s="38"/>
    </row>
    <row r="239" spans="1:9" x14ac:dyDescent="0.2">
      <c r="C239" s="79"/>
      <c r="I239" s="38"/>
    </row>
    <row r="240" spans="1:9" x14ac:dyDescent="0.2">
      <c r="C240" s="79"/>
      <c r="I240" s="38"/>
    </row>
    <row r="241" spans="9:9" x14ac:dyDescent="0.2">
      <c r="I241" s="38"/>
    </row>
    <row r="242" spans="9:9" x14ac:dyDescent="0.2">
      <c r="I242" s="38"/>
    </row>
    <row r="243" spans="9:9" x14ac:dyDescent="0.2">
      <c r="I243" s="38"/>
    </row>
    <row r="244" spans="9:9" x14ac:dyDescent="0.2">
      <c r="I244" s="38"/>
    </row>
    <row r="245" spans="9:9" x14ac:dyDescent="0.2">
      <c r="I245" s="38"/>
    </row>
    <row r="246" spans="9:9" x14ac:dyDescent="0.2">
      <c r="I246" s="38"/>
    </row>
    <row r="247" spans="9:9" x14ac:dyDescent="0.2">
      <c r="I247" s="38"/>
    </row>
    <row r="248" spans="9:9" x14ac:dyDescent="0.2">
      <c r="I248" s="38"/>
    </row>
    <row r="249" spans="9:9" x14ac:dyDescent="0.2">
      <c r="I249" s="38"/>
    </row>
    <row r="250" spans="9:9" x14ac:dyDescent="0.2">
      <c r="I250" s="38"/>
    </row>
    <row r="251" spans="9:9" x14ac:dyDescent="0.2">
      <c r="I251" s="38"/>
    </row>
    <row r="252" spans="9:9" x14ac:dyDescent="0.2">
      <c r="I252" s="38"/>
    </row>
    <row r="253" spans="9:9" x14ac:dyDescent="0.2">
      <c r="I253" s="38"/>
    </row>
    <row r="254" spans="9:9" x14ac:dyDescent="0.2">
      <c r="I254" s="38"/>
    </row>
    <row r="255" spans="9:9" x14ac:dyDescent="0.2">
      <c r="I255" s="38"/>
    </row>
    <row r="256" spans="9:9" x14ac:dyDescent="0.2">
      <c r="I256" s="38"/>
    </row>
    <row r="257" spans="9:9" x14ac:dyDescent="0.2">
      <c r="I257" s="38"/>
    </row>
    <row r="258" spans="9:9" x14ac:dyDescent="0.2">
      <c r="I258" s="38"/>
    </row>
    <row r="259" spans="9:9" x14ac:dyDescent="0.2">
      <c r="I259" s="38"/>
    </row>
    <row r="260" spans="9:9" x14ac:dyDescent="0.2">
      <c r="I260" s="38"/>
    </row>
    <row r="261" spans="9:9" x14ac:dyDescent="0.2">
      <c r="I261" s="38"/>
    </row>
    <row r="262" spans="9:9" x14ac:dyDescent="0.2">
      <c r="I262" s="38"/>
    </row>
    <row r="263" spans="9:9" x14ac:dyDescent="0.2">
      <c r="I263" s="38"/>
    </row>
    <row r="264" spans="9:9" x14ac:dyDescent="0.2">
      <c r="I264" s="38"/>
    </row>
    <row r="265" spans="9:9" x14ac:dyDescent="0.2">
      <c r="I265" s="38"/>
    </row>
    <row r="266" spans="9:9" x14ac:dyDescent="0.2">
      <c r="I266" s="38"/>
    </row>
    <row r="267" spans="9:9" x14ac:dyDescent="0.2">
      <c r="I267" s="38"/>
    </row>
    <row r="268" spans="9:9" x14ac:dyDescent="0.2">
      <c r="I268" s="38"/>
    </row>
    <row r="269" spans="9:9" x14ac:dyDescent="0.2">
      <c r="I269" s="38"/>
    </row>
    <row r="270" spans="9:9" x14ac:dyDescent="0.2">
      <c r="I270" s="38"/>
    </row>
    <row r="271" spans="9:9" x14ac:dyDescent="0.2">
      <c r="I271" s="38"/>
    </row>
    <row r="272" spans="9:9" x14ac:dyDescent="0.2">
      <c r="I272" s="38"/>
    </row>
    <row r="273" spans="9:9" x14ac:dyDescent="0.2">
      <c r="I273" s="38"/>
    </row>
    <row r="274" spans="9:9" x14ac:dyDescent="0.2">
      <c r="I274" s="38"/>
    </row>
    <row r="275" spans="9:9" x14ac:dyDescent="0.2">
      <c r="I275" s="38"/>
    </row>
    <row r="276" spans="9:9" x14ac:dyDescent="0.2">
      <c r="I276" s="38"/>
    </row>
    <row r="277" spans="9:9" x14ac:dyDescent="0.2">
      <c r="I277" s="38"/>
    </row>
    <row r="278" spans="9:9" x14ac:dyDescent="0.2">
      <c r="I278" s="38"/>
    </row>
    <row r="279" spans="9:9" x14ac:dyDescent="0.2">
      <c r="I279" s="38"/>
    </row>
    <row r="280" spans="9:9" x14ac:dyDescent="0.2">
      <c r="I280" s="38"/>
    </row>
  </sheetData>
  <autoFilter ref="A3:G280" xr:uid="{65D0C226-933A-4AF7-97EC-547F789C6654}">
    <filterColumn colId="0">
      <iconFilter iconSet="3Arrows"/>
    </filterColumn>
  </autoFilter>
  <sortState ref="A4:G164">
    <sortCondition ref="B4:B164"/>
  </sortState>
  <mergeCells count="4">
    <mergeCell ref="A2:E2"/>
    <mergeCell ref="A152:E152"/>
    <mergeCell ref="A1:E1"/>
    <mergeCell ref="A145:E145"/>
  </mergeCells>
  <hyperlinks>
    <hyperlink ref="G145" r:id="rId1" xr:uid="{EB939CB3-757F-49AA-AF3C-3CC2BBF3FCB8}"/>
    <hyperlink ref="F152" r:id="rId2" xr:uid="{CD952A33-FC70-4230-A30D-470292D79679}"/>
  </hyperlinks>
  <pageMargins left="0.7" right="0.7" top="0.75" bottom="0.75" header="0.3" footer="0.3"/>
  <pageSetup paperSize="9" orientation="portrait" verticalDpi="0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6622-26D1-41B8-A09D-649F93D994D0}">
  <sheetPr filterMode="1"/>
  <dimension ref="A1:F33"/>
  <sheetViews>
    <sheetView zoomScaleNormal="100" workbookViewId="0">
      <selection activeCell="C8" sqref="C8"/>
    </sheetView>
  </sheetViews>
  <sheetFormatPr defaultColWidth="8.85546875" defaultRowHeight="12.75" x14ac:dyDescent="0.2"/>
  <cols>
    <col min="1" max="2" width="8.85546875" style="7"/>
    <col min="3" max="3" width="12.28515625" style="7" customWidth="1"/>
    <col min="4" max="4" width="12.42578125" style="7" customWidth="1"/>
    <col min="5" max="5" width="8.85546875" style="7"/>
  </cols>
  <sheetData>
    <row r="1" spans="1:6" ht="18" x14ac:dyDescent="0.25">
      <c r="A1" s="320" t="s">
        <v>97</v>
      </c>
      <c r="B1" s="321"/>
      <c r="C1" s="321"/>
      <c r="D1" s="321"/>
      <c r="E1" s="322"/>
    </row>
    <row r="2" spans="1:6" x14ac:dyDescent="0.2">
      <c r="A2" s="319" t="s">
        <v>95</v>
      </c>
      <c r="B2" s="319"/>
      <c r="C2" s="319"/>
      <c r="D2" s="319"/>
      <c r="E2" s="319"/>
      <c r="F2" s="44" t="s">
        <v>98</v>
      </c>
    </row>
    <row r="3" spans="1:6" x14ac:dyDescent="0.2">
      <c r="A3" s="29" t="s">
        <v>6</v>
      </c>
      <c r="B3" s="29" t="s">
        <v>23</v>
      </c>
      <c r="C3" s="32" t="s">
        <v>66</v>
      </c>
      <c r="D3" s="29" t="s">
        <v>12</v>
      </c>
      <c r="E3" s="29" t="s">
        <v>10</v>
      </c>
    </row>
    <row r="4" spans="1:6" x14ac:dyDescent="0.2">
      <c r="A4" s="88">
        <v>1</v>
      </c>
      <c r="B4" s="88">
        <v>39.659999999999997</v>
      </c>
      <c r="C4" s="5">
        <v>97000</v>
      </c>
      <c r="D4" s="6">
        <v>3926340</v>
      </c>
      <c r="E4" s="5">
        <v>1</v>
      </c>
    </row>
    <row r="5" spans="1:6" x14ac:dyDescent="0.2">
      <c r="A5" s="88">
        <v>1</v>
      </c>
      <c r="B5" s="88">
        <v>40.340000000000003</v>
      </c>
      <c r="C5" s="5">
        <v>97000</v>
      </c>
      <c r="D5" s="6">
        <v>3993660</v>
      </c>
      <c r="E5" s="5">
        <v>1</v>
      </c>
    </row>
    <row r="6" spans="1:6" x14ac:dyDescent="0.2">
      <c r="A6" s="88">
        <v>2</v>
      </c>
      <c r="B6" s="88">
        <v>45.08</v>
      </c>
      <c r="C6" s="5">
        <v>97000</v>
      </c>
      <c r="D6" s="6">
        <v>4462920</v>
      </c>
      <c r="E6" s="5">
        <v>2</v>
      </c>
    </row>
    <row r="7" spans="1:6" x14ac:dyDescent="0.2">
      <c r="A7" s="88">
        <v>2</v>
      </c>
      <c r="B7" s="88">
        <v>45.25</v>
      </c>
      <c r="C7" s="5">
        <v>97000</v>
      </c>
      <c r="D7" s="6">
        <v>4479750</v>
      </c>
      <c r="E7" s="5">
        <v>3</v>
      </c>
    </row>
    <row r="8" spans="1:6" x14ac:dyDescent="0.2">
      <c r="A8" s="88">
        <v>2</v>
      </c>
      <c r="B8" s="97">
        <v>45.25</v>
      </c>
      <c r="C8" s="5">
        <v>99000</v>
      </c>
      <c r="D8" s="6">
        <v>4479750</v>
      </c>
      <c r="E8" s="5">
        <v>4</v>
      </c>
    </row>
    <row r="9" spans="1:6" x14ac:dyDescent="0.2">
      <c r="A9" s="88">
        <v>2</v>
      </c>
      <c r="B9" s="88">
        <v>45.25</v>
      </c>
      <c r="C9" s="5">
        <f t="shared" ref="C9:C33" si="0">D9/B9</f>
        <v>99000</v>
      </c>
      <c r="D9" s="6">
        <v>4479750</v>
      </c>
      <c r="E9" s="5">
        <v>5</v>
      </c>
    </row>
    <row r="10" spans="1:6" x14ac:dyDescent="0.2">
      <c r="A10" s="88">
        <v>2</v>
      </c>
      <c r="B10" s="88">
        <v>46.1</v>
      </c>
      <c r="C10" s="5">
        <f t="shared" si="0"/>
        <v>99000</v>
      </c>
      <c r="D10" s="6">
        <v>4563900</v>
      </c>
      <c r="E10" s="5">
        <v>7</v>
      </c>
    </row>
    <row r="11" spans="1:6" x14ac:dyDescent="0.2">
      <c r="A11" s="88">
        <v>2</v>
      </c>
      <c r="B11" s="88">
        <v>46.1</v>
      </c>
      <c r="C11" s="5">
        <f t="shared" si="0"/>
        <v>99000</v>
      </c>
      <c r="D11" s="6">
        <v>4563900</v>
      </c>
      <c r="E11" s="5">
        <v>8</v>
      </c>
    </row>
    <row r="12" spans="1:6" x14ac:dyDescent="0.2">
      <c r="A12" s="88">
        <v>2</v>
      </c>
      <c r="B12" s="88">
        <v>46.1</v>
      </c>
      <c r="C12" s="5">
        <f t="shared" si="0"/>
        <v>99000</v>
      </c>
      <c r="D12" s="6">
        <v>4563900</v>
      </c>
      <c r="E12" s="5">
        <v>9</v>
      </c>
    </row>
    <row r="13" spans="1:6" x14ac:dyDescent="0.2">
      <c r="A13" s="88">
        <v>2</v>
      </c>
      <c r="B13" s="88">
        <v>46.1</v>
      </c>
      <c r="C13" s="5">
        <f t="shared" si="0"/>
        <v>99000</v>
      </c>
      <c r="D13" s="6">
        <v>4563900</v>
      </c>
      <c r="E13" s="5">
        <v>10</v>
      </c>
    </row>
    <row r="14" spans="1:6" x14ac:dyDescent="0.2">
      <c r="A14" s="88">
        <v>2</v>
      </c>
      <c r="B14" s="88">
        <v>46.1</v>
      </c>
      <c r="C14" s="5">
        <f t="shared" si="0"/>
        <v>99000</v>
      </c>
      <c r="D14" s="6">
        <v>4563900</v>
      </c>
      <c r="E14" s="5">
        <v>6</v>
      </c>
    </row>
    <row r="15" spans="1:6" x14ac:dyDescent="0.2">
      <c r="A15" s="88">
        <v>2</v>
      </c>
      <c r="B15" s="88">
        <v>46.36</v>
      </c>
      <c r="C15" s="5">
        <v>97000</v>
      </c>
      <c r="D15" s="6">
        <v>4589640</v>
      </c>
      <c r="E15" s="5">
        <v>1</v>
      </c>
    </row>
    <row r="16" spans="1:6" x14ac:dyDescent="0.2">
      <c r="A16" s="88">
        <v>2</v>
      </c>
      <c r="B16" s="88">
        <v>48.76</v>
      </c>
      <c r="C16" s="5">
        <v>97000</v>
      </c>
      <c r="D16" s="6">
        <v>4827240</v>
      </c>
      <c r="E16" s="5">
        <v>3</v>
      </c>
    </row>
    <row r="17" spans="1:5" x14ac:dyDescent="0.2">
      <c r="A17" s="88">
        <v>2</v>
      </c>
      <c r="B17" s="88">
        <v>48.76</v>
      </c>
      <c r="C17" s="5">
        <v>97000</v>
      </c>
      <c r="D17" s="6">
        <v>4827240</v>
      </c>
      <c r="E17" s="5">
        <v>4</v>
      </c>
    </row>
    <row r="18" spans="1:5" x14ac:dyDescent="0.2">
      <c r="A18" s="88">
        <v>2</v>
      </c>
      <c r="B18" s="88">
        <v>48.76</v>
      </c>
      <c r="C18" s="5">
        <f t="shared" si="0"/>
        <v>99000</v>
      </c>
      <c r="D18" s="6">
        <v>4827240</v>
      </c>
      <c r="E18" s="5">
        <v>5</v>
      </c>
    </row>
    <row r="19" spans="1:5" x14ac:dyDescent="0.2">
      <c r="A19" s="88">
        <v>2</v>
      </c>
      <c r="B19" s="88">
        <v>49.7</v>
      </c>
      <c r="C19" s="5">
        <f t="shared" si="0"/>
        <v>99000</v>
      </c>
      <c r="D19" s="6">
        <v>4920300</v>
      </c>
      <c r="E19" s="5">
        <v>7</v>
      </c>
    </row>
    <row r="20" spans="1:5" x14ac:dyDescent="0.2">
      <c r="A20" s="88">
        <v>2</v>
      </c>
      <c r="B20" s="88">
        <v>49.7</v>
      </c>
      <c r="C20" s="5">
        <f t="shared" si="0"/>
        <v>99000</v>
      </c>
      <c r="D20" s="6">
        <v>4920300</v>
      </c>
      <c r="E20" s="5">
        <v>8</v>
      </c>
    </row>
    <row r="21" spans="1:5" x14ac:dyDescent="0.2">
      <c r="A21" s="97">
        <v>3</v>
      </c>
      <c r="B21" s="88">
        <v>64.45</v>
      </c>
      <c r="C21" s="5">
        <v>97000</v>
      </c>
      <c r="D21" s="6">
        <v>6380550</v>
      </c>
      <c r="E21" s="5">
        <v>1</v>
      </c>
    </row>
    <row r="22" spans="1:5" x14ac:dyDescent="0.2">
      <c r="A22" s="88">
        <v>3</v>
      </c>
      <c r="B22" s="88">
        <v>65.53</v>
      </c>
      <c r="C22" s="5">
        <v>97000</v>
      </c>
      <c r="D22" s="6">
        <v>6487470</v>
      </c>
      <c r="E22" s="5">
        <v>1</v>
      </c>
    </row>
    <row r="23" spans="1:5" x14ac:dyDescent="0.2">
      <c r="A23" s="88">
        <v>3</v>
      </c>
      <c r="B23" s="88">
        <v>65.56</v>
      </c>
      <c r="C23" s="5">
        <v>97000</v>
      </c>
      <c r="D23" s="6">
        <v>6490440</v>
      </c>
      <c r="E23" s="5">
        <v>2</v>
      </c>
    </row>
    <row r="24" spans="1:5" x14ac:dyDescent="0.2">
      <c r="A24" s="88">
        <v>3</v>
      </c>
      <c r="B24" s="88">
        <v>68.95</v>
      </c>
      <c r="C24" s="5">
        <f t="shared" si="0"/>
        <v>99000</v>
      </c>
      <c r="D24" s="6">
        <v>6826050</v>
      </c>
      <c r="E24" s="5">
        <v>7</v>
      </c>
    </row>
    <row r="25" spans="1:5" x14ac:dyDescent="0.2">
      <c r="A25" s="88">
        <v>3</v>
      </c>
      <c r="B25" s="88">
        <v>68.95</v>
      </c>
      <c r="C25" s="5">
        <f t="shared" si="0"/>
        <v>99000</v>
      </c>
      <c r="D25" s="6">
        <v>6826050</v>
      </c>
      <c r="E25" s="5">
        <v>8</v>
      </c>
    </row>
    <row r="26" spans="1:5" x14ac:dyDescent="0.2">
      <c r="A26" s="88">
        <v>3</v>
      </c>
      <c r="B26" s="88">
        <v>68.95</v>
      </c>
      <c r="C26" s="5">
        <f t="shared" si="0"/>
        <v>99000</v>
      </c>
      <c r="D26" s="6">
        <v>6826050</v>
      </c>
      <c r="E26" s="5">
        <v>9</v>
      </c>
    </row>
    <row r="27" spans="1:5" x14ac:dyDescent="0.2">
      <c r="A27" s="88">
        <v>3</v>
      </c>
      <c r="B27" s="88">
        <v>73.2</v>
      </c>
      <c r="C27" s="5">
        <f t="shared" si="0"/>
        <v>99000</v>
      </c>
      <c r="D27" s="6">
        <v>7246800</v>
      </c>
      <c r="E27" s="5">
        <v>9</v>
      </c>
    </row>
    <row r="28" spans="1:5" x14ac:dyDescent="0.2">
      <c r="A28" s="88">
        <v>3</v>
      </c>
      <c r="B28" s="88">
        <v>73.2</v>
      </c>
      <c r="C28" s="5">
        <f t="shared" si="0"/>
        <v>99000</v>
      </c>
      <c r="D28" s="6">
        <v>7246800</v>
      </c>
      <c r="E28" s="5">
        <v>6</v>
      </c>
    </row>
    <row r="29" spans="1:5" x14ac:dyDescent="0.2">
      <c r="A29" s="88">
        <v>3</v>
      </c>
      <c r="B29" s="88">
        <v>73.2</v>
      </c>
      <c r="C29" s="5">
        <f t="shared" si="0"/>
        <v>99000</v>
      </c>
      <c r="D29" s="6">
        <v>7246800</v>
      </c>
      <c r="E29" s="5">
        <v>7</v>
      </c>
    </row>
    <row r="30" spans="1:5" x14ac:dyDescent="0.2">
      <c r="A30" s="88">
        <v>3</v>
      </c>
      <c r="B30" s="88">
        <v>73.2</v>
      </c>
      <c r="C30" s="5">
        <f t="shared" si="0"/>
        <v>99000</v>
      </c>
      <c r="D30" s="6">
        <v>7246800</v>
      </c>
      <c r="E30" s="5">
        <v>8</v>
      </c>
    </row>
    <row r="31" spans="1:5" x14ac:dyDescent="0.2">
      <c r="A31" s="88">
        <v>3</v>
      </c>
      <c r="B31" s="88">
        <v>73.52</v>
      </c>
      <c r="C31" s="5">
        <f t="shared" si="0"/>
        <v>99000</v>
      </c>
      <c r="D31" s="6">
        <v>7278480</v>
      </c>
      <c r="E31" s="5">
        <v>10</v>
      </c>
    </row>
    <row r="32" spans="1:5" x14ac:dyDescent="0.2">
      <c r="A32" s="5">
        <v>3</v>
      </c>
      <c r="B32" s="88">
        <v>80.25</v>
      </c>
      <c r="C32" s="5">
        <f t="shared" si="0"/>
        <v>99000</v>
      </c>
      <c r="D32" s="6">
        <v>7944750</v>
      </c>
      <c r="E32" s="5">
        <v>9</v>
      </c>
    </row>
    <row r="33" spans="1:5" x14ac:dyDescent="0.2">
      <c r="A33" s="5">
        <v>3</v>
      </c>
      <c r="B33" s="88">
        <v>80.25</v>
      </c>
      <c r="C33" s="5">
        <f t="shared" si="0"/>
        <v>99000</v>
      </c>
      <c r="D33" s="6">
        <v>7944750</v>
      </c>
      <c r="E33" s="5">
        <v>10</v>
      </c>
    </row>
  </sheetData>
  <autoFilter ref="A3:F33" xr:uid="{32FB1A60-F401-4F09-B4EE-7E192097CEAE}">
    <filterColumn colId="0">
      <iconFilter iconSet="3Arrows"/>
    </filterColumn>
    <sortState ref="A4:F27">
      <sortCondition ref="B4:B27"/>
    </sortState>
  </autoFilter>
  <mergeCells count="2">
    <mergeCell ref="A2:E2"/>
    <mergeCell ref="A1:E1"/>
  </mergeCells>
  <hyperlinks>
    <hyperlink ref="F2" r:id="rId1" xr:uid="{BD22329B-BDF9-43C0-B2AF-54654A95EA83}"/>
  </hyperlinks>
  <pageMargins left="0.7" right="0.7" top="0.75" bottom="0.75" header="0.3" footer="0.3"/>
  <pageSetup paperSize="9" orientation="portrait" verticalDpi="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BADD-2207-4960-ABBD-2723A2AC00F1}">
  <sheetPr filterMode="1"/>
  <dimension ref="A1:F29"/>
  <sheetViews>
    <sheetView workbookViewId="0">
      <selection activeCell="D40" sqref="D40"/>
    </sheetView>
  </sheetViews>
  <sheetFormatPr defaultColWidth="8.85546875" defaultRowHeight="12.75" x14ac:dyDescent="0.2"/>
  <cols>
    <col min="1" max="1" width="11.140625" style="233" customWidth="1"/>
    <col min="2" max="2" width="12.7109375" style="233" customWidth="1"/>
    <col min="3" max="3" width="13.42578125" style="233" customWidth="1"/>
    <col min="4" max="4" width="13.85546875" style="233" customWidth="1"/>
    <col min="5" max="6" width="8.85546875" style="233"/>
  </cols>
  <sheetData>
    <row r="1" spans="1:6" ht="18" x14ac:dyDescent="0.25">
      <c r="A1" s="324" t="s">
        <v>101</v>
      </c>
      <c r="B1" s="325"/>
      <c r="C1" s="325"/>
      <c r="D1" s="325"/>
      <c r="E1" s="326"/>
    </row>
    <row r="2" spans="1:6" ht="15" x14ac:dyDescent="0.25">
      <c r="A2" s="323" t="s">
        <v>99</v>
      </c>
      <c r="B2" s="323"/>
      <c r="C2" s="323"/>
      <c r="D2" s="323"/>
      <c r="E2" s="323"/>
      <c r="F2" s="234" t="s">
        <v>106</v>
      </c>
    </row>
    <row r="3" spans="1:6" ht="14.25" x14ac:dyDescent="0.2">
      <c r="A3" s="235" t="s">
        <v>6</v>
      </c>
      <c r="B3" s="235" t="s">
        <v>7</v>
      </c>
      <c r="C3" s="235" t="s">
        <v>12</v>
      </c>
      <c r="D3" s="235" t="s">
        <v>100</v>
      </c>
      <c r="E3" s="235" t="s">
        <v>10</v>
      </c>
    </row>
    <row r="4" spans="1:6" x14ac:dyDescent="0.2">
      <c r="A4" s="238">
        <v>2</v>
      </c>
      <c r="B4" s="40">
        <v>50.35</v>
      </c>
      <c r="C4" s="236">
        <v>10019650</v>
      </c>
      <c r="D4" s="40">
        <f>C4/B4</f>
        <v>199000</v>
      </c>
      <c r="E4" s="40">
        <v>3</v>
      </c>
    </row>
    <row r="5" spans="1:6" x14ac:dyDescent="0.2">
      <c r="A5" s="238">
        <v>2</v>
      </c>
      <c r="B5" s="40">
        <v>50.53</v>
      </c>
      <c r="C5" s="236">
        <v>9954410</v>
      </c>
      <c r="D5" s="40">
        <f t="shared" ref="D5:D29" si="0">C5/B5</f>
        <v>197000</v>
      </c>
      <c r="E5" s="40">
        <v>2</v>
      </c>
    </row>
    <row r="6" spans="1:6" x14ac:dyDescent="0.2">
      <c r="A6" s="238">
        <v>2</v>
      </c>
      <c r="B6" s="40">
        <v>55.53</v>
      </c>
      <c r="C6" s="236">
        <v>10828350</v>
      </c>
      <c r="D6" s="40">
        <f t="shared" si="0"/>
        <v>195000</v>
      </c>
      <c r="E6" s="40">
        <v>1</v>
      </c>
    </row>
    <row r="7" spans="1:6" x14ac:dyDescent="0.2">
      <c r="A7" s="238">
        <v>2</v>
      </c>
      <c r="B7" s="40">
        <v>55.69</v>
      </c>
      <c r="C7" s="236">
        <v>11305070</v>
      </c>
      <c r="D7" s="40">
        <f t="shared" si="0"/>
        <v>203000</v>
      </c>
      <c r="E7" s="40">
        <v>4</v>
      </c>
    </row>
    <row r="8" spans="1:6" x14ac:dyDescent="0.2">
      <c r="A8" s="238">
        <v>2</v>
      </c>
      <c r="B8" s="40">
        <v>55.69</v>
      </c>
      <c r="C8" s="236">
        <v>11305070</v>
      </c>
      <c r="D8" s="40">
        <f t="shared" si="0"/>
        <v>203000</v>
      </c>
      <c r="E8" s="40">
        <v>3</v>
      </c>
    </row>
    <row r="9" spans="1:6" x14ac:dyDescent="0.2">
      <c r="A9" s="238">
        <v>2</v>
      </c>
      <c r="B9" s="40">
        <v>55.69</v>
      </c>
      <c r="C9" s="236">
        <v>11305070</v>
      </c>
      <c r="D9" s="40">
        <f t="shared" si="0"/>
        <v>203000</v>
      </c>
      <c r="E9" s="40">
        <v>2</v>
      </c>
    </row>
    <row r="10" spans="1:6" x14ac:dyDescent="0.2">
      <c r="A10" s="238">
        <v>2</v>
      </c>
      <c r="B10" s="40">
        <v>58.76</v>
      </c>
      <c r="C10" s="236">
        <v>11458200</v>
      </c>
      <c r="D10" s="40">
        <f t="shared" si="0"/>
        <v>195000</v>
      </c>
      <c r="E10" s="40">
        <v>2</v>
      </c>
    </row>
    <row r="11" spans="1:6" x14ac:dyDescent="0.2">
      <c r="A11" s="238">
        <v>2</v>
      </c>
      <c r="B11" s="40">
        <v>61.01</v>
      </c>
      <c r="C11" s="236">
        <v>11884748</v>
      </c>
      <c r="D11" s="40">
        <f t="shared" si="0"/>
        <v>194800</v>
      </c>
      <c r="E11" s="40">
        <v>1</v>
      </c>
    </row>
    <row r="12" spans="1:6" x14ac:dyDescent="0.2">
      <c r="A12" s="238">
        <v>2</v>
      </c>
      <c r="B12" s="40">
        <v>63.89</v>
      </c>
      <c r="C12" s="236">
        <v>12458550</v>
      </c>
      <c r="D12" s="40">
        <f t="shared" si="0"/>
        <v>195000</v>
      </c>
      <c r="E12" s="40">
        <v>2</v>
      </c>
    </row>
    <row r="13" spans="1:6" x14ac:dyDescent="0.2">
      <c r="A13" s="238">
        <v>2</v>
      </c>
      <c r="B13" s="40">
        <v>64.22</v>
      </c>
      <c r="C13" s="236">
        <v>13036660</v>
      </c>
      <c r="D13" s="40">
        <f t="shared" si="0"/>
        <v>203000</v>
      </c>
      <c r="E13" s="40">
        <v>2</v>
      </c>
    </row>
    <row r="14" spans="1:6" x14ac:dyDescent="0.2">
      <c r="A14" s="238">
        <v>2</v>
      </c>
      <c r="B14" s="40">
        <v>64.23</v>
      </c>
      <c r="C14" s="236">
        <v>13038690</v>
      </c>
      <c r="D14" s="40">
        <f t="shared" si="0"/>
        <v>203000</v>
      </c>
      <c r="E14" s="40">
        <v>4</v>
      </c>
    </row>
    <row r="15" spans="1:6" x14ac:dyDescent="0.2">
      <c r="A15" s="238">
        <v>2</v>
      </c>
      <c r="B15" s="40">
        <v>64.23</v>
      </c>
      <c r="C15" s="236">
        <v>13038690</v>
      </c>
      <c r="D15" s="40">
        <f t="shared" si="0"/>
        <v>203000</v>
      </c>
      <c r="E15" s="40">
        <v>3</v>
      </c>
    </row>
    <row r="16" spans="1:6" x14ac:dyDescent="0.2">
      <c r="A16" s="238">
        <v>2</v>
      </c>
      <c r="B16" s="40">
        <v>64.459999999999994</v>
      </c>
      <c r="C16" s="236">
        <v>13085380</v>
      </c>
      <c r="D16" s="40">
        <f t="shared" si="0"/>
        <v>203000.00000000003</v>
      </c>
      <c r="E16" s="40">
        <v>3</v>
      </c>
    </row>
    <row r="17" spans="1:5" x14ac:dyDescent="0.2">
      <c r="A17" s="238">
        <v>2</v>
      </c>
      <c r="B17" s="40">
        <v>64.459999999999994</v>
      </c>
      <c r="C17" s="236">
        <v>13085380</v>
      </c>
      <c r="D17" s="40">
        <f t="shared" si="0"/>
        <v>203000.00000000003</v>
      </c>
      <c r="E17" s="40">
        <v>4</v>
      </c>
    </row>
    <row r="18" spans="1:5" x14ac:dyDescent="0.2">
      <c r="A18" s="238">
        <v>2</v>
      </c>
      <c r="B18" s="40">
        <v>64.459999999999994</v>
      </c>
      <c r="C18" s="236">
        <v>13085380</v>
      </c>
      <c r="D18" s="236">
        <f>C18/B18</f>
        <v>203000.00000000003</v>
      </c>
      <c r="E18" s="40">
        <v>2</v>
      </c>
    </row>
    <row r="19" spans="1:5" x14ac:dyDescent="0.2">
      <c r="A19" s="238">
        <v>2</v>
      </c>
      <c r="B19" s="40">
        <v>64.459999999999994</v>
      </c>
      <c r="C19" s="236">
        <v>13536600</v>
      </c>
      <c r="D19" s="40">
        <f t="shared" si="0"/>
        <v>210000.00000000003</v>
      </c>
      <c r="E19" s="40">
        <v>5</v>
      </c>
    </row>
    <row r="20" spans="1:5" x14ac:dyDescent="0.2">
      <c r="A20" s="238">
        <v>2</v>
      </c>
      <c r="B20" s="40">
        <v>66.83</v>
      </c>
      <c r="C20" s="236">
        <v>12630870</v>
      </c>
      <c r="D20" s="40">
        <f t="shared" si="0"/>
        <v>189000</v>
      </c>
      <c r="E20" s="40">
        <v>4</v>
      </c>
    </row>
    <row r="21" spans="1:5" x14ac:dyDescent="0.2">
      <c r="A21" s="238">
        <v>3</v>
      </c>
      <c r="B21" s="40">
        <v>66.83</v>
      </c>
      <c r="C21" s="236">
        <v>12630870</v>
      </c>
      <c r="D21" s="40">
        <f t="shared" si="0"/>
        <v>189000</v>
      </c>
      <c r="E21" s="40">
        <v>2</v>
      </c>
    </row>
    <row r="22" spans="1:5" x14ac:dyDescent="0.2">
      <c r="A22" s="238">
        <v>3</v>
      </c>
      <c r="B22" s="40">
        <v>66.83</v>
      </c>
      <c r="C22" s="236">
        <v>12630870</v>
      </c>
      <c r="D22" s="40">
        <f t="shared" si="0"/>
        <v>189000</v>
      </c>
      <c r="E22" s="40">
        <v>3</v>
      </c>
    </row>
    <row r="23" spans="1:5" x14ac:dyDescent="0.2">
      <c r="A23" s="238">
        <v>3</v>
      </c>
      <c r="B23" s="40">
        <v>65.78</v>
      </c>
      <c r="C23" s="236">
        <v>12103520</v>
      </c>
      <c r="D23" s="40">
        <f t="shared" si="0"/>
        <v>184000</v>
      </c>
      <c r="E23" s="40">
        <v>1</v>
      </c>
    </row>
    <row r="24" spans="1:5" x14ac:dyDescent="0.2">
      <c r="A24" s="238">
        <v>3</v>
      </c>
      <c r="B24" s="40">
        <v>67.77</v>
      </c>
      <c r="C24" s="236">
        <v>12808530</v>
      </c>
      <c r="D24" s="40">
        <f t="shared" si="0"/>
        <v>189000</v>
      </c>
      <c r="E24" s="40">
        <v>2</v>
      </c>
    </row>
    <row r="25" spans="1:5" x14ac:dyDescent="0.2">
      <c r="A25" s="238">
        <v>3</v>
      </c>
      <c r="B25" s="40">
        <v>68.02</v>
      </c>
      <c r="C25" s="236">
        <v>12515680</v>
      </c>
      <c r="D25" s="40">
        <f t="shared" si="0"/>
        <v>184000</v>
      </c>
      <c r="E25" s="40">
        <v>1</v>
      </c>
    </row>
    <row r="26" spans="1:5" x14ac:dyDescent="0.2">
      <c r="A26" s="238">
        <v>3</v>
      </c>
      <c r="B26" s="40">
        <v>68.66</v>
      </c>
      <c r="C26" s="236">
        <v>12976740</v>
      </c>
      <c r="D26" s="40">
        <f t="shared" si="0"/>
        <v>189000</v>
      </c>
      <c r="E26" s="40">
        <v>3</v>
      </c>
    </row>
    <row r="27" spans="1:5" x14ac:dyDescent="0.2">
      <c r="A27" s="238">
        <v>3</v>
      </c>
      <c r="B27" s="40">
        <v>75.56</v>
      </c>
      <c r="C27" s="236">
        <v>13903040</v>
      </c>
      <c r="D27" s="40">
        <f t="shared" si="0"/>
        <v>184000</v>
      </c>
      <c r="E27" s="40">
        <v>1</v>
      </c>
    </row>
    <row r="28" spans="1:5" x14ac:dyDescent="0.2">
      <c r="A28" s="238">
        <v>3</v>
      </c>
      <c r="B28" s="40">
        <v>76.010000000000005</v>
      </c>
      <c r="C28" s="236">
        <v>14365890</v>
      </c>
      <c r="D28" s="40">
        <f t="shared" si="0"/>
        <v>189000</v>
      </c>
      <c r="E28" s="40" t="s">
        <v>332</v>
      </c>
    </row>
    <row r="29" spans="1:5" x14ac:dyDescent="0.2">
      <c r="A29" s="238">
        <v>3</v>
      </c>
      <c r="B29" s="40">
        <v>88.03</v>
      </c>
      <c r="C29" s="237">
        <v>17870090</v>
      </c>
      <c r="D29" s="40">
        <f t="shared" si="0"/>
        <v>203000</v>
      </c>
      <c r="E29" s="40">
        <v>6</v>
      </c>
    </row>
  </sheetData>
  <autoFilter ref="A3:E28" xr:uid="{13ADADFE-5713-47CF-A520-E7C5D0A1185F}">
    <filterColumn colId="0">
      <iconFilter iconSet="3Arrows"/>
    </filterColumn>
  </autoFilter>
  <mergeCells count="2">
    <mergeCell ref="A2:E2"/>
    <mergeCell ref="A1:E1"/>
  </mergeCells>
  <hyperlinks>
    <hyperlink ref="F2" r:id="rId1" xr:uid="{85AE7FB6-3C8F-43FC-9A4E-58D49CAB61F5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Сводка</vt:lpstr>
      <vt:lpstr>КССК</vt:lpstr>
      <vt:lpstr>Железно</vt:lpstr>
      <vt:lpstr>КСМ</vt:lpstr>
      <vt:lpstr>Маяковская</vt:lpstr>
      <vt:lpstr>УКС Авитек</vt:lpstr>
      <vt:lpstr>СМУ5</vt:lpstr>
      <vt:lpstr>СтройСоюз</vt:lpstr>
      <vt:lpstr>КИНО девелопмент</vt:lpstr>
      <vt:lpstr>ПрофСтрой</vt:lpstr>
      <vt:lpstr>Алтай-Строй</vt:lpstr>
      <vt:lpstr>Сретенский посад</vt:lpstr>
      <vt:lpstr>ПС Недвижимость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Говорова Анастасия Игоревна</dc:creator>
  <cp:lastModifiedBy>Говорова Анастасия Игоревна</cp:lastModifiedBy>
  <cp:lastPrinted>2025-11-01T10:06:25Z</cp:lastPrinted>
  <dcterms:created xsi:type="dcterms:W3CDTF">2023-02-06T09:53:20Z</dcterms:created>
  <dcterms:modified xsi:type="dcterms:W3CDTF">2026-05-15T13:52:16Z</dcterms:modified>
</cp:coreProperties>
</file>